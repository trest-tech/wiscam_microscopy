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hensley/Desktop/wiscam_microscopy/data/normalized/"/>
    </mc:Choice>
  </mc:AlternateContent>
  <xr:revisionPtr revIDLastSave="0" documentId="11_639F04AE20D12EFE12FBD2E1F664D3A02CE2082A" xr6:coauthVersionLast="47" xr6:coauthVersionMax="47" xr10:uidLastSave="{00000000-0000-0000-0000-000000000000}"/>
  <bookViews>
    <workbookView xWindow="0" yWindow="680" windowWidth="29400" windowHeight="18440" activeTab="13" xr2:uid="{00000000-000D-0000-FFFF-FFFF00000000}"/>
  </bookViews>
  <sheets>
    <sheet name="Nic List" sheetId="1" r:id="rId1"/>
    <sheet name="template" sheetId="2" r:id="rId2"/>
    <sheet name="30300" sheetId="3" r:id="rId3"/>
    <sheet name="30295" sheetId="4" r:id="rId4"/>
    <sheet name="30287" sheetId="5" r:id="rId5"/>
    <sheet name="30286" sheetId="6" r:id="rId6"/>
    <sheet name="30283" sheetId="7" r:id="rId7"/>
    <sheet name="30282" sheetId="8" r:id="rId8"/>
    <sheet name="30281" sheetId="9" r:id="rId9"/>
    <sheet name="30280" sheetId="10" r:id="rId10"/>
    <sheet name="30276" sheetId="11" r:id="rId11"/>
    <sheet name="30274" sheetId="12" r:id="rId12"/>
    <sheet name="30260" sheetId="13" r:id="rId13"/>
    <sheet name="30254" sheetId="14" r:id="rId14"/>
    <sheet name="30249" sheetId="15" r:id="rId15"/>
    <sheet name="30248" sheetId="16" r:id="rId16"/>
    <sheet name="30245" sheetId="17" r:id="rId17"/>
    <sheet name="30244" sheetId="18" r:id="rId18"/>
    <sheet name="30243" sheetId="19" r:id="rId19"/>
    <sheet name="30239" sheetId="20" r:id="rId20"/>
    <sheet name="30238" sheetId="21" r:id="rId21"/>
    <sheet name="30236" sheetId="22" r:id="rId22"/>
    <sheet name="30230" sheetId="23" r:id="rId23"/>
    <sheet name="30226" sheetId="24" r:id="rId24"/>
    <sheet name="30222" sheetId="25" r:id="rId25"/>
    <sheet name="30221" sheetId="26" r:id="rId26"/>
    <sheet name="30215" sheetId="27" r:id="rId27"/>
    <sheet name="30214" sheetId="28" r:id="rId28"/>
    <sheet name="30213" sheetId="29" r:id="rId29"/>
    <sheet name="30212" sheetId="30" r:id="rId30"/>
    <sheet name="30211(immature)" sheetId="31" r:id="rId31"/>
    <sheet name="30210(not found)" sheetId="32" r:id="rId32"/>
    <sheet name="30209" sheetId="33" r:id="rId33"/>
    <sheet name="30208" sheetId="34" r:id="rId34"/>
    <sheet name="30207" sheetId="35" r:id="rId35"/>
    <sheet name="30206" sheetId="36" r:id="rId36"/>
    <sheet name="30205" sheetId="37" r:id="rId37"/>
    <sheet name="30204" sheetId="38" r:id="rId38"/>
    <sheet name="30203" sheetId="39" r:id="rId39"/>
    <sheet name="30202" sheetId="40" r:id="rId40"/>
    <sheet name="30201" sheetId="41" r:id="rId41"/>
    <sheet name="30199" sheetId="42" r:id="rId42"/>
    <sheet name="30198" sheetId="43" r:id="rId43"/>
    <sheet name="30197" sheetId="44" r:id="rId44"/>
    <sheet name="30196" sheetId="45" r:id="rId45"/>
    <sheet name="30195" sheetId="46" r:id="rId46"/>
    <sheet name="30194" sheetId="47" r:id="rId47"/>
    <sheet name="30193" sheetId="48" r:id="rId48"/>
    <sheet name="30192" sheetId="49" r:id="rId49"/>
    <sheet name="30191" sheetId="50" r:id="rId50"/>
    <sheet name="30190" sheetId="51" r:id="rId51"/>
    <sheet name="30189" sheetId="52" r:id="rId52"/>
    <sheet name="30188" sheetId="53" r:id="rId53"/>
    <sheet name="30187" sheetId="54" r:id="rId54"/>
    <sheet name="30186" sheetId="55" r:id="rId55"/>
    <sheet name="30185" sheetId="56" r:id="rId56"/>
    <sheet name="30184" sheetId="57" r:id="rId57"/>
    <sheet name="30183" sheetId="58" r:id="rId58"/>
    <sheet name="30182" sheetId="59" r:id="rId59"/>
    <sheet name="30181" sheetId="60" r:id="rId6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60" l="1"/>
  <c r="D60" i="60"/>
  <c r="C60" i="60"/>
  <c r="B60" i="60"/>
  <c r="C59" i="60"/>
  <c r="C61" i="60" s="1"/>
  <c r="B59" i="60"/>
  <c r="B61" i="60" s="1"/>
  <c r="D30" i="60"/>
  <c r="C30" i="60"/>
  <c r="B30" i="60"/>
  <c r="D29" i="60"/>
  <c r="C29" i="60"/>
  <c r="B29" i="60"/>
  <c r="D28" i="60"/>
  <c r="C28" i="60"/>
  <c r="B28" i="60"/>
  <c r="D60" i="59"/>
  <c r="B60" i="59"/>
  <c r="E59" i="59"/>
  <c r="D59" i="59"/>
  <c r="C59" i="59"/>
  <c r="B59" i="59"/>
  <c r="E58" i="59"/>
  <c r="E60" i="59" s="1"/>
  <c r="C58" i="59"/>
  <c r="C60" i="59" s="1"/>
  <c r="B58" i="59"/>
  <c r="C29" i="59"/>
  <c r="B29" i="59"/>
  <c r="C28" i="59"/>
  <c r="B28" i="59"/>
  <c r="C27" i="59"/>
  <c r="B27" i="59"/>
  <c r="D26" i="59"/>
  <c r="D25" i="59"/>
  <c r="D24" i="59"/>
  <c r="D23" i="59"/>
  <c r="D22" i="59"/>
  <c r="D21" i="59"/>
  <c r="D20" i="59"/>
  <c r="D19" i="59"/>
  <c r="D18" i="59"/>
  <c r="D17" i="59"/>
  <c r="D16" i="59"/>
  <c r="D15" i="59"/>
  <c r="D14" i="59"/>
  <c r="D13" i="59"/>
  <c r="D12" i="59"/>
  <c r="D11" i="59"/>
  <c r="D10" i="59"/>
  <c r="D9" i="59"/>
  <c r="D8" i="59"/>
  <c r="D28" i="59" s="1"/>
  <c r="D7" i="59"/>
  <c r="D6" i="59"/>
  <c r="D5" i="59"/>
  <c r="D29" i="59" s="1"/>
  <c r="D4" i="59"/>
  <c r="D3" i="59"/>
  <c r="D27" i="59" s="1"/>
  <c r="D2" i="59"/>
  <c r="D60" i="58"/>
  <c r="C60" i="58"/>
  <c r="D59" i="58"/>
  <c r="C59" i="58"/>
  <c r="B59" i="58"/>
  <c r="C58" i="58"/>
  <c r="B58" i="58"/>
  <c r="B60" i="58" s="1"/>
  <c r="C29" i="58"/>
  <c r="B29" i="58"/>
  <c r="C28" i="58"/>
  <c r="B28" i="58"/>
  <c r="C27" i="58"/>
  <c r="B27" i="58"/>
  <c r="D26" i="58"/>
  <c r="D25" i="58"/>
  <c r="D24" i="58"/>
  <c r="D23" i="58"/>
  <c r="D22" i="58"/>
  <c r="D21" i="58"/>
  <c r="D20" i="58"/>
  <c r="D19" i="58"/>
  <c r="D18" i="58"/>
  <c r="D17" i="58"/>
  <c r="D16" i="58"/>
  <c r="D15" i="58"/>
  <c r="D14" i="58"/>
  <c r="D13" i="58"/>
  <c r="D12" i="58"/>
  <c r="D11" i="58"/>
  <c r="D10" i="58"/>
  <c r="D9" i="58"/>
  <c r="D8" i="58"/>
  <c r="D7" i="58"/>
  <c r="D29" i="58" s="1"/>
  <c r="D6" i="58"/>
  <c r="D5" i="58"/>
  <c r="D4" i="58"/>
  <c r="D3" i="58"/>
  <c r="D28" i="58" s="1"/>
  <c r="D2" i="58"/>
  <c r="D27" i="58" s="1"/>
  <c r="F69" i="57"/>
  <c r="D60" i="57"/>
  <c r="C60" i="57"/>
  <c r="B60" i="57"/>
  <c r="D59" i="57"/>
  <c r="C59" i="57"/>
  <c r="B59" i="57"/>
  <c r="C58" i="57"/>
  <c r="B58" i="57"/>
  <c r="C29" i="57"/>
  <c r="B29" i="57"/>
  <c r="C28" i="57"/>
  <c r="B28" i="57"/>
  <c r="C27" i="57"/>
  <c r="B27" i="57"/>
  <c r="D26" i="57"/>
  <c r="D25" i="57"/>
  <c r="D24" i="57"/>
  <c r="D23" i="57"/>
  <c r="D22" i="57"/>
  <c r="D21" i="57"/>
  <c r="D20" i="57"/>
  <c r="D19" i="57"/>
  <c r="D18" i="57"/>
  <c r="D17" i="57"/>
  <c r="D16" i="57"/>
  <c r="D15" i="57"/>
  <c r="D14" i="57"/>
  <c r="D13" i="57"/>
  <c r="D12" i="57"/>
  <c r="D11" i="57"/>
  <c r="D10" i="57"/>
  <c r="D9" i="57"/>
  <c r="D8" i="57"/>
  <c r="D7" i="57"/>
  <c r="D6" i="57"/>
  <c r="D5" i="57"/>
  <c r="D29" i="57" s="1"/>
  <c r="D4" i="57"/>
  <c r="D3" i="57"/>
  <c r="D2" i="57"/>
  <c r="D27" i="57" s="1"/>
  <c r="D60" i="56"/>
  <c r="C60" i="56"/>
  <c r="D59" i="56"/>
  <c r="C59" i="56"/>
  <c r="B59" i="56"/>
  <c r="C58" i="56"/>
  <c r="B58" i="56"/>
  <c r="B60" i="56" s="1"/>
  <c r="C29" i="56"/>
  <c r="B29" i="56"/>
  <c r="C28" i="56"/>
  <c r="B28" i="56"/>
  <c r="C27" i="56"/>
  <c r="B27" i="56"/>
  <c r="D26" i="56"/>
  <c r="D25" i="56"/>
  <c r="D24" i="56"/>
  <c r="D23" i="56"/>
  <c r="D22" i="56"/>
  <c r="D21" i="56"/>
  <c r="D20" i="56"/>
  <c r="D19" i="56"/>
  <c r="D18" i="56"/>
  <c r="D17" i="56"/>
  <c r="D16" i="56"/>
  <c r="D15" i="56"/>
  <c r="D14" i="56"/>
  <c r="D13" i="56"/>
  <c r="D12" i="56"/>
  <c r="D11" i="56"/>
  <c r="D10" i="56"/>
  <c r="D9" i="56"/>
  <c r="D8" i="56"/>
  <c r="D28" i="56" s="1"/>
  <c r="D7" i="56"/>
  <c r="D6" i="56"/>
  <c r="D5" i="56"/>
  <c r="D4" i="56"/>
  <c r="D29" i="56" s="1"/>
  <c r="D3" i="56"/>
  <c r="D2" i="56"/>
  <c r="D27" i="56" s="1"/>
  <c r="D60" i="55"/>
  <c r="C60" i="55"/>
  <c r="B60" i="55"/>
  <c r="D59" i="55"/>
  <c r="C59" i="55"/>
  <c r="B59" i="55"/>
  <c r="C58" i="55"/>
  <c r="B58" i="55"/>
  <c r="C29" i="55"/>
  <c r="B29" i="55"/>
  <c r="C28" i="55"/>
  <c r="B28" i="55"/>
  <c r="C27" i="55"/>
  <c r="B27" i="55"/>
  <c r="D26" i="55"/>
  <c r="D25" i="55"/>
  <c r="D24" i="55"/>
  <c r="D23" i="55"/>
  <c r="D22" i="55"/>
  <c r="D21" i="55"/>
  <c r="D20" i="55"/>
  <c r="D19" i="55"/>
  <c r="D18" i="55"/>
  <c r="D17" i="55"/>
  <c r="D16" i="55"/>
  <c r="D15" i="55"/>
  <c r="D14" i="55"/>
  <c r="D13" i="55"/>
  <c r="D12" i="55"/>
  <c r="D11" i="55"/>
  <c r="D10" i="55"/>
  <c r="D9" i="55"/>
  <c r="D8" i="55"/>
  <c r="D7" i="55"/>
  <c r="D6" i="55"/>
  <c r="D5" i="55"/>
  <c r="D4" i="55"/>
  <c r="D29" i="55" s="1"/>
  <c r="D3" i="55"/>
  <c r="D28" i="55" s="1"/>
  <c r="D2" i="55"/>
  <c r="D27" i="55" s="1"/>
  <c r="D60" i="54"/>
  <c r="D59" i="54"/>
  <c r="C59" i="54"/>
  <c r="B59" i="54"/>
  <c r="C58" i="54"/>
  <c r="C60" i="54" s="1"/>
  <c r="B58" i="54"/>
  <c r="B60" i="54" s="1"/>
  <c r="C29" i="54"/>
  <c r="B29" i="54"/>
  <c r="C28" i="54"/>
  <c r="B28" i="54"/>
  <c r="C27" i="54"/>
  <c r="B27" i="54"/>
  <c r="D26" i="54"/>
  <c r="D25" i="54"/>
  <c r="D24" i="54"/>
  <c r="D23" i="54"/>
  <c r="D22" i="54"/>
  <c r="D21" i="54"/>
  <c r="D20" i="54"/>
  <c r="D19" i="54"/>
  <c r="D18" i="54"/>
  <c r="D17" i="54"/>
  <c r="D16" i="54"/>
  <c r="D15" i="54"/>
  <c r="D14" i="54"/>
  <c r="D13" i="54"/>
  <c r="D12" i="54"/>
  <c r="D11" i="54"/>
  <c r="D29" i="54" s="1"/>
  <c r="D10" i="54"/>
  <c r="D9" i="54"/>
  <c r="D8" i="54"/>
  <c r="D7" i="54"/>
  <c r="D6" i="54"/>
  <c r="D5" i="54"/>
  <c r="D4" i="54"/>
  <c r="D3" i="54"/>
  <c r="D28" i="54" s="1"/>
  <c r="D2" i="54"/>
  <c r="D27" i="54" s="1"/>
  <c r="D60" i="53"/>
  <c r="B60" i="53"/>
  <c r="D59" i="53"/>
  <c r="C59" i="53"/>
  <c r="B59" i="53"/>
  <c r="C58" i="53"/>
  <c r="C60" i="53" s="1"/>
  <c r="B58" i="53"/>
  <c r="C29" i="53"/>
  <c r="B29" i="53"/>
  <c r="C28" i="53"/>
  <c r="B28" i="53"/>
  <c r="C27" i="53"/>
  <c r="B27" i="53"/>
  <c r="D26" i="53"/>
  <c r="D25" i="53"/>
  <c r="D24" i="53"/>
  <c r="D23" i="53"/>
  <c r="D22" i="53"/>
  <c r="D21" i="53"/>
  <c r="D20" i="53"/>
  <c r="D19" i="53"/>
  <c r="D18" i="53"/>
  <c r="D17" i="53"/>
  <c r="D16" i="53"/>
  <c r="D15" i="53"/>
  <c r="D14" i="53"/>
  <c r="D13" i="53"/>
  <c r="D12" i="53"/>
  <c r="D11" i="53"/>
  <c r="D10" i="53"/>
  <c r="D9" i="53"/>
  <c r="D8" i="53"/>
  <c r="D7" i="53"/>
  <c r="D6" i="53"/>
  <c r="D5" i="53"/>
  <c r="D29" i="53" s="1"/>
  <c r="D4" i="53"/>
  <c r="D3" i="53"/>
  <c r="D2" i="53"/>
  <c r="D60" i="52"/>
  <c r="C60" i="52"/>
  <c r="D59" i="52"/>
  <c r="C59" i="52"/>
  <c r="B59" i="52"/>
  <c r="C58" i="52"/>
  <c r="B58" i="52"/>
  <c r="B60" i="52" s="1"/>
  <c r="C29" i="52"/>
  <c r="B29" i="52"/>
  <c r="C28" i="52"/>
  <c r="B28" i="52"/>
  <c r="C27" i="52"/>
  <c r="B27" i="52"/>
  <c r="D26" i="52"/>
  <c r="D25" i="52"/>
  <c r="D24" i="52"/>
  <c r="D23" i="52"/>
  <c r="D22" i="52"/>
  <c r="D21" i="52"/>
  <c r="D20" i="52"/>
  <c r="D19" i="52"/>
  <c r="D18" i="52"/>
  <c r="D17" i="52"/>
  <c r="D16" i="52"/>
  <c r="D15" i="52"/>
  <c r="D14" i="52"/>
  <c r="D13" i="52"/>
  <c r="D12" i="52"/>
  <c r="D11" i="52"/>
  <c r="D10" i="52"/>
  <c r="D9" i="52"/>
  <c r="D8" i="52"/>
  <c r="D7" i="52"/>
  <c r="D28" i="52" s="1"/>
  <c r="D6" i="52"/>
  <c r="D5" i="52"/>
  <c r="D4" i="52"/>
  <c r="D29" i="52" s="1"/>
  <c r="D3" i="52"/>
  <c r="D2" i="52"/>
  <c r="D27" i="52" s="1"/>
  <c r="D60" i="51"/>
  <c r="C60" i="51"/>
  <c r="B60" i="51"/>
  <c r="D59" i="51"/>
  <c r="C59" i="51"/>
  <c r="B59" i="51"/>
  <c r="C58" i="51"/>
  <c r="B58" i="51"/>
  <c r="C29" i="51"/>
  <c r="B29" i="51"/>
  <c r="C28" i="51"/>
  <c r="B28" i="51"/>
  <c r="C27" i="51"/>
  <c r="B27" i="51"/>
  <c r="D26" i="51"/>
  <c r="D25" i="51"/>
  <c r="D24" i="51"/>
  <c r="D23" i="51"/>
  <c r="D22" i="51"/>
  <c r="D21" i="51"/>
  <c r="D20" i="51"/>
  <c r="D19" i="51"/>
  <c r="D18" i="51"/>
  <c r="D17" i="51"/>
  <c r="D16" i="51"/>
  <c r="D15" i="51"/>
  <c r="D14" i="51"/>
  <c r="D13" i="51"/>
  <c r="D12" i="51"/>
  <c r="D11" i="51"/>
  <c r="D10" i="51"/>
  <c r="D9" i="51"/>
  <c r="D8" i="51"/>
  <c r="D7" i="51"/>
  <c r="D6" i="51"/>
  <c r="D5" i="51"/>
  <c r="D4" i="51"/>
  <c r="D29" i="51" s="1"/>
  <c r="D3" i="51"/>
  <c r="D28" i="51" s="1"/>
  <c r="D2" i="51"/>
  <c r="D27" i="51" s="1"/>
  <c r="D60" i="50"/>
  <c r="D59" i="50"/>
  <c r="C59" i="50"/>
  <c r="B59" i="50"/>
  <c r="C58" i="50"/>
  <c r="C60" i="50" s="1"/>
  <c r="B58" i="50"/>
  <c r="B60" i="50" s="1"/>
  <c r="C29" i="50"/>
  <c r="B29" i="50"/>
  <c r="C28" i="50"/>
  <c r="B28" i="50"/>
  <c r="C27" i="50"/>
  <c r="B27" i="50"/>
  <c r="D26" i="50"/>
  <c r="D25" i="50"/>
  <c r="D24" i="50"/>
  <c r="D23" i="50"/>
  <c r="D22" i="50"/>
  <c r="D21" i="50"/>
  <c r="D20" i="50"/>
  <c r="D19" i="50"/>
  <c r="D18" i="50"/>
  <c r="D17" i="50"/>
  <c r="D16" i="50"/>
  <c r="D15" i="50"/>
  <c r="D14" i="50"/>
  <c r="D13" i="50"/>
  <c r="D12" i="50"/>
  <c r="D11" i="50"/>
  <c r="D10" i="50"/>
  <c r="D9" i="50"/>
  <c r="D8" i="50"/>
  <c r="D7" i="50"/>
  <c r="D6" i="50"/>
  <c r="D29" i="50" s="1"/>
  <c r="D5" i="50"/>
  <c r="D4" i="50"/>
  <c r="D3" i="50"/>
  <c r="D28" i="50" s="1"/>
  <c r="D2" i="50"/>
  <c r="D60" i="49"/>
  <c r="B60" i="49"/>
  <c r="D59" i="49"/>
  <c r="C59" i="49"/>
  <c r="B59" i="49"/>
  <c r="C58" i="49"/>
  <c r="C60" i="49" s="1"/>
  <c r="B58" i="49"/>
  <c r="C29" i="49"/>
  <c r="B29" i="49"/>
  <c r="C28" i="49"/>
  <c r="B28" i="49"/>
  <c r="C27" i="49"/>
  <c r="B27" i="49"/>
  <c r="D26" i="49"/>
  <c r="D25" i="49"/>
  <c r="D24" i="49"/>
  <c r="D23" i="49"/>
  <c r="D22" i="49"/>
  <c r="D21" i="49"/>
  <c r="D20" i="49"/>
  <c r="D19" i="49"/>
  <c r="D18" i="49"/>
  <c r="D17" i="49"/>
  <c r="D16" i="49"/>
  <c r="D15" i="49"/>
  <c r="D14" i="49"/>
  <c r="D13" i="49"/>
  <c r="D12" i="49"/>
  <c r="D11" i="49"/>
  <c r="D10" i="49"/>
  <c r="D9" i="49"/>
  <c r="D8" i="49"/>
  <c r="D7" i="49"/>
  <c r="D6" i="49"/>
  <c r="D5" i="49"/>
  <c r="D29" i="49" s="1"/>
  <c r="D4" i="49"/>
  <c r="D3" i="49"/>
  <c r="D2" i="49"/>
  <c r="D60" i="48"/>
  <c r="C60" i="48"/>
  <c r="B60" i="48"/>
  <c r="D59" i="48"/>
  <c r="C59" i="48"/>
  <c r="B59" i="48"/>
  <c r="C58" i="48"/>
  <c r="B58" i="48"/>
  <c r="C29" i="48"/>
  <c r="B29" i="48"/>
  <c r="C28" i="48"/>
  <c r="B28" i="48"/>
  <c r="C27" i="48"/>
  <c r="B27" i="48"/>
  <c r="D26" i="48"/>
  <c r="D25" i="48"/>
  <c r="D24" i="48"/>
  <c r="D23" i="48"/>
  <c r="D22" i="48"/>
  <c r="D21" i="48"/>
  <c r="D20" i="48"/>
  <c r="D19" i="48"/>
  <c r="D18" i="48"/>
  <c r="D17" i="48"/>
  <c r="D16" i="48"/>
  <c r="D15" i="48"/>
  <c r="D14" i="48"/>
  <c r="D13" i="48"/>
  <c r="D12" i="48"/>
  <c r="D11" i="48"/>
  <c r="D10" i="48"/>
  <c r="D9" i="48"/>
  <c r="D8" i="48"/>
  <c r="D7" i="48"/>
  <c r="D28" i="48" s="1"/>
  <c r="D6" i="48"/>
  <c r="D5" i="48"/>
  <c r="D4" i="48"/>
  <c r="D29" i="48" s="1"/>
  <c r="D3" i="48"/>
  <c r="D2" i="48"/>
  <c r="D27" i="48" s="1"/>
  <c r="D60" i="47"/>
  <c r="C60" i="47"/>
  <c r="B60" i="47"/>
  <c r="D59" i="47"/>
  <c r="C59" i="47"/>
  <c r="B59" i="47"/>
  <c r="C58" i="47"/>
  <c r="B58" i="47"/>
  <c r="C29" i="47"/>
  <c r="B29" i="47"/>
  <c r="C28" i="47"/>
  <c r="B28" i="47"/>
  <c r="C27" i="47"/>
  <c r="B27" i="47"/>
  <c r="D26" i="47"/>
  <c r="D25" i="47"/>
  <c r="D24" i="47"/>
  <c r="D23" i="47"/>
  <c r="D22" i="47"/>
  <c r="D21" i="47"/>
  <c r="D20" i="47"/>
  <c r="D19" i="47"/>
  <c r="D18" i="47"/>
  <c r="D17" i="47"/>
  <c r="D16" i="47"/>
  <c r="D15" i="47"/>
  <c r="D14" i="47"/>
  <c r="D13" i="47"/>
  <c r="D12" i="47"/>
  <c r="D11" i="47"/>
  <c r="D10" i="47"/>
  <c r="D9" i="47"/>
  <c r="D29" i="47" s="1"/>
  <c r="D8" i="47"/>
  <c r="D7" i="47"/>
  <c r="D6" i="47"/>
  <c r="D5" i="47"/>
  <c r="D4" i="47"/>
  <c r="D3" i="47"/>
  <c r="D28" i="47" s="1"/>
  <c r="D2" i="47"/>
  <c r="D27" i="47" s="1"/>
  <c r="D60" i="46"/>
  <c r="D59" i="46"/>
  <c r="C59" i="46"/>
  <c r="B59" i="46"/>
  <c r="C58" i="46"/>
  <c r="C60" i="46" s="1"/>
  <c r="B58" i="46"/>
  <c r="B60" i="46" s="1"/>
  <c r="C29" i="46"/>
  <c r="B29" i="46"/>
  <c r="C28" i="46"/>
  <c r="B28" i="46"/>
  <c r="C27" i="46"/>
  <c r="B27" i="46"/>
  <c r="D26" i="46"/>
  <c r="D25" i="46"/>
  <c r="D24" i="46"/>
  <c r="D23" i="46"/>
  <c r="D22" i="46"/>
  <c r="D21" i="46"/>
  <c r="D20" i="46"/>
  <c r="D19" i="46"/>
  <c r="D18" i="46"/>
  <c r="D17" i="46"/>
  <c r="D16" i="46"/>
  <c r="D15" i="46"/>
  <c r="D14" i="46"/>
  <c r="D13" i="46"/>
  <c r="D12" i="46"/>
  <c r="D11" i="46"/>
  <c r="D29" i="46" s="1"/>
  <c r="D10" i="46"/>
  <c r="D9" i="46"/>
  <c r="D8" i="46"/>
  <c r="D7" i="46"/>
  <c r="D6" i="46"/>
  <c r="D5" i="46"/>
  <c r="D4" i="46"/>
  <c r="D3" i="46"/>
  <c r="D28" i="46" s="1"/>
  <c r="D2" i="46"/>
  <c r="D60" i="45"/>
  <c r="B60" i="45"/>
  <c r="D59" i="45"/>
  <c r="C59" i="45"/>
  <c r="B59" i="45"/>
  <c r="C58" i="45"/>
  <c r="C60" i="45" s="1"/>
  <c r="B58" i="45"/>
  <c r="C29" i="45"/>
  <c r="B29" i="45"/>
  <c r="C28" i="45"/>
  <c r="B28" i="45"/>
  <c r="C27" i="45"/>
  <c r="B27" i="45"/>
  <c r="D26" i="45"/>
  <c r="D25" i="45"/>
  <c r="D24" i="45"/>
  <c r="D23" i="45"/>
  <c r="D22" i="45"/>
  <c r="D21" i="45"/>
  <c r="D20" i="45"/>
  <c r="D19" i="45"/>
  <c r="D18" i="45"/>
  <c r="D17" i="45"/>
  <c r="D16" i="45"/>
  <c r="D15" i="45"/>
  <c r="D14" i="45"/>
  <c r="D13" i="45"/>
  <c r="D12" i="45"/>
  <c r="D11" i="45"/>
  <c r="D10" i="45"/>
  <c r="D9" i="45"/>
  <c r="D8" i="45"/>
  <c r="D7" i="45"/>
  <c r="D6" i="45"/>
  <c r="D5" i="45"/>
  <c r="D29" i="45" s="1"/>
  <c r="D4" i="45"/>
  <c r="D3" i="45"/>
  <c r="D2" i="45"/>
  <c r="D60" i="44"/>
  <c r="C60" i="44"/>
  <c r="B60" i="44"/>
  <c r="D59" i="44"/>
  <c r="C59" i="44"/>
  <c r="B59" i="44"/>
  <c r="C58" i="44"/>
  <c r="B58" i="44"/>
  <c r="C29" i="44"/>
  <c r="B29" i="44"/>
  <c r="C28" i="44"/>
  <c r="B28" i="44"/>
  <c r="C27" i="44"/>
  <c r="B27" i="44"/>
  <c r="D26" i="44"/>
  <c r="D25" i="44"/>
  <c r="D24" i="44"/>
  <c r="D23" i="44"/>
  <c r="D22" i="44"/>
  <c r="D21" i="44"/>
  <c r="D20" i="44"/>
  <c r="D19" i="44"/>
  <c r="D18" i="44"/>
  <c r="D17" i="44"/>
  <c r="D16" i="44"/>
  <c r="D15" i="44"/>
  <c r="D14" i="44"/>
  <c r="D13" i="44"/>
  <c r="D12" i="44"/>
  <c r="D11" i="44"/>
  <c r="D10" i="44"/>
  <c r="D9" i="44"/>
  <c r="D8" i="44"/>
  <c r="D7" i="44"/>
  <c r="D28" i="44" s="1"/>
  <c r="D6" i="44"/>
  <c r="D5" i="44"/>
  <c r="D4" i="44"/>
  <c r="D29" i="44" s="1"/>
  <c r="D3" i="44"/>
  <c r="D2" i="44"/>
  <c r="D27" i="44" s="1"/>
  <c r="D60" i="43"/>
  <c r="C60" i="43"/>
  <c r="B60" i="43"/>
  <c r="D59" i="43"/>
  <c r="C59" i="43"/>
  <c r="B59" i="43"/>
  <c r="C58" i="43"/>
  <c r="B58" i="43"/>
  <c r="C29" i="43"/>
  <c r="B29" i="43"/>
  <c r="C28" i="43"/>
  <c r="B28" i="43"/>
  <c r="C27" i="43"/>
  <c r="B27" i="43"/>
  <c r="D26" i="43"/>
  <c r="D25" i="43"/>
  <c r="D24" i="43"/>
  <c r="D23" i="43"/>
  <c r="D22" i="43"/>
  <c r="D21" i="43"/>
  <c r="D20" i="43"/>
  <c r="D19" i="43"/>
  <c r="D18" i="43"/>
  <c r="D17" i="43"/>
  <c r="D16" i="43"/>
  <c r="D15" i="43"/>
  <c r="D14" i="43"/>
  <c r="D13" i="43"/>
  <c r="D12" i="43"/>
  <c r="D11" i="43"/>
  <c r="D29" i="43" s="1"/>
  <c r="D10" i="43"/>
  <c r="D9" i="43"/>
  <c r="D8" i="43"/>
  <c r="D7" i="43"/>
  <c r="D6" i="43"/>
  <c r="D5" i="43"/>
  <c r="D4" i="43"/>
  <c r="D3" i="43"/>
  <c r="D28" i="43" s="1"/>
  <c r="D2" i="43"/>
  <c r="D27" i="43" s="1"/>
  <c r="D60" i="42"/>
  <c r="D59" i="42"/>
  <c r="C59" i="42"/>
  <c r="B59" i="42"/>
  <c r="C58" i="42"/>
  <c r="C60" i="42" s="1"/>
  <c r="B58" i="42"/>
  <c r="B60" i="42" s="1"/>
  <c r="C29" i="42"/>
  <c r="B29" i="42"/>
  <c r="C28" i="42"/>
  <c r="B28" i="42"/>
  <c r="C27" i="42"/>
  <c r="B27" i="42"/>
  <c r="D26" i="42"/>
  <c r="D25" i="42"/>
  <c r="D24" i="42"/>
  <c r="D23" i="42"/>
  <c r="D22" i="42"/>
  <c r="D21" i="42"/>
  <c r="D20" i="42"/>
  <c r="D19" i="42"/>
  <c r="D18" i="42"/>
  <c r="D17" i="42"/>
  <c r="D16" i="42"/>
  <c r="D15" i="42"/>
  <c r="D14" i="42"/>
  <c r="D13" i="42"/>
  <c r="D12" i="42"/>
  <c r="D11" i="42"/>
  <c r="D10" i="42"/>
  <c r="D9" i="42"/>
  <c r="D8" i="42"/>
  <c r="D7" i="42"/>
  <c r="D6" i="42"/>
  <c r="D5" i="42"/>
  <c r="D27" i="42" s="1"/>
  <c r="D4" i="42"/>
  <c r="D3" i="42"/>
  <c r="D28" i="42" s="1"/>
  <c r="D2" i="42"/>
  <c r="D60" i="41"/>
  <c r="B60" i="41"/>
  <c r="D59" i="41"/>
  <c r="C59" i="41"/>
  <c r="B59" i="41"/>
  <c r="C58" i="41"/>
  <c r="C60" i="41" s="1"/>
  <c r="B58" i="41"/>
  <c r="C29" i="41"/>
  <c r="B29" i="41"/>
  <c r="C28" i="41"/>
  <c r="B28" i="41"/>
  <c r="C27" i="41"/>
  <c r="B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D13" i="41"/>
  <c r="D12" i="41"/>
  <c r="D11" i="41"/>
  <c r="D10" i="41"/>
  <c r="D9" i="41"/>
  <c r="D8" i="41"/>
  <c r="D7" i="41"/>
  <c r="D6" i="41"/>
  <c r="D5" i="41"/>
  <c r="D29" i="41" s="1"/>
  <c r="D4" i="41"/>
  <c r="D3" i="41"/>
  <c r="D2" i="41"/>
  <c r="D60" i="40"/>
  <c r="C60" i="40"/>
  <c r="B60" i="40"/>
  <c r="D59" i="40"/>
  <c r="C59" i="40"/>
  <c r="B59" i="40"/>
  <c r="C58" i="40"/>
  <c r="B58" i="40"/>
  <c r="C29" i="40"/>
  <c r="B29" i="40"/>
  <c r="C28" i="40"/>
  <c r="B28" i="40"/>
  <c r="C27" i="40"/>
  <c r="B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29" i="40" s="1"/>
  <c r="D6" i="40"/>
  <c r="D5" i="40"/>
  <c r="D4" i="40"/>
  <c r="D3" i="40"/>
  <c r="D2" i="40"/>
  <c r="D27" i="40" s="1"/>
  <c r="D60" i="39"/>
  <c r="C60" i="39"/>
  <c r="B60" i="39"/>
  <c r="D59" i="39"/>
  <c r="C59" i="39"/>
  <c r="B59" i="39"/>
  <c r="C58" i="39"/>
  <c r="B58" i="39"/>
  <c r="C29" i="39"/>
  <c r="B29" i="39"/>
  <c r="C28" i="39"/>
  <c r="B28" i="39"/>
  <c r="C27" i="39"/>
  <c r="B27" i="39"/>
  <c r="D26" i="39"/>
  <c r="D25" i="39"/>
  <c r="D24" i="39"/>
  <c r="D23" i="39"/>
  <c r="D22" i="39"/>
  <c r="D21" i="39"/>
  <c r="D20" i="39"/>
  <c r="D19" i="39"/>
  <c r="D18" i="39"/>
  <c r="D17" i="39"/>
  <c r="D16" i="39"/>
  <c r="D15" i="39"/>
  <c r="D14" i="39"/>
  <c r="D13" i="39"/>
  <c r="D12" i="39"/>
  <c r="D11" i="39"/>
  <c r="D29" i="39" s="1"/>
  <c r="D10" i="39"/>
  <c r="D9" i="39"/>
  <c r="D8" i="39"/>
  <c r="D7" i="39"/>
  <c r="D6" i="39"/>
  <c r="D5" i="39"/>
  <c r="D4" i="39"/>
  <c r="D3" i="39"/>
  <c r="D28" i="39" s="1"/>
  <c r="D2" i="39"/>
  <c r="D27" i="39" s="1"/>
  <c r="D60" i="38"/>
  <c r="D59" i="38"/>
  <c r="C59" i="38"/>
  <c r="B59" i="38"/>
  <c r="C58" i="38"/>
  <c r="C60" i="38" s="1"/>
  <c r="B58" i="38"/>
  <c r="B60" i="38" s="1"/>
  <c r="C29" i="38"/>
  <c r="B29" i="38"/>
  <c r="C28" i="38"/>
  <c r="B28" i="38"/>
  <c r="C27" i="38"/>
  <c r="B27" i="38"/>
  <c r="D26" i="38"/>
  <c r="D25" i="38"/>
  <c r="D24" i="38"/>
  <c r="D23" i="38"/>
  <c r="D22" i="38"/>
  <c r="D21" i="38"/>
  <c r="D20" i="38"/>
  <c r="D19" i="38"/>
  <c r="D18" i="38"/>
  <c r="D17" i="38"/>
  <c r="D16" i="38"/>
  <c r="D15" i="38"/>
  <c r="D14" i="38"/>
  <c r="D13" i="38"/>
  <c r="D12" i="38"/>
  <c r="D11" i="38"/>
  <c r="D10" i="38"/>
  <c r="D9" i="38"/>
  <c r="D8" i="38"/>
  <c r="D7" i="38"/>
  <c r="D6" i="38"/>
  <c r="D5" i="38"/>
  <c r="D27" i="38" s="1"/>
  <c r="D4" i="38"/>
  <c r="D3" i="38"/>
  <c r="D28" i="38" s="1"/>
  <c r="D2" i="38"/>
  <c r="D60" i="37"/>
  <c r="B60" i="37"/>
  <c r="D59" i="37"/>
  <c r="C59" i="37"/>
  <c r="B59" i="37"/>
  <c r="C58" i="37"/>
  <c r="C60" i="37" s="1"/>
  <c r="B58" i="37"/>
  <c r="C29" i="37"/>
  <c r="B29" i="37"/>
  <c r="C28" i="37"/>
  <c r="B28" i="37"/>
  <c r="C27" i="37"/>
  <c r="B27" i="37"/>
  <c r="D26" i="37"/>
  <c r="D25" i="37"/>
  <c r="D24" i="37"/>
  <c r="D23" i="37"/>
  <c r="D22" i="37"/>
  <c r="D21" i="37"/>
  <c r="D20" i="37"/>
  <c r="D19" i="37"/>
  <c r="D18" i="37"/>
  <c r="D17" i="37"/>
  <c r="D16" i="37"/>
  <c r="D15" i="37"/>
  <c r="D14" i="37"/>
  <c r="D13" i="37"/>
  <c r="D12" i="37"/>
  <c r="D11" i="37"/>
  <c r="D10" i="37"/>
  <c r="D9" i="37"/>
  <c r="D8" i="37"/>
  <c r="D7" i="37"/>
  <c r="D6" i="37"/>
  <c r="D5" i="37"/>
  <c r="D29" i="37" s="1"/>
  <c r="D4" i="37"/>
  <c r="D3" i="37"/>
  <c r="D2" i="37"/>
  <c r="D60" i="36"/>
  <c r="C60" i="36"/>
  <c r="B60" i="36"/>
  <c r="D59" i="36"/>
  <c r="C59" i="36"/>
  <c r="B59" i="36"/>
  <c r="C58" i="36"/>
  <c r="B58" i="36"/>
  <c r="C29" i="36"/>
  <c r="B29" i="36"/>
  <c r="C28" i="36"/>
  <c r="B28" i="36"/>
  <c r="C27" i="36"/>
  <c r="B27" i="36"/>
  <c r="D26" i="36"/>
  <c r="D25" i="36"/>
  <c r="D24" i="36"/>
  <c r="D23" i="36"/>
  <c r="D22" i="36"/>
  <c r="D21" i="36"/>
  <c r="D20" i="36"/>
  <c r="D19" i="36"/>
  <c r="D18" i="36"/>
  <c r="D17" i="36"/>
  <c r="D16" i="36"/>
  <c r="D15" i="36"/>
  <c r="D14" i="36"/>
  <c r="D13" i="36"/>
  <c r="D12" i="36"/>
  <c r="D11" i="36"/>
  <c r="D10" i="36"/>
  <c r="D9" i="36"/>
  <c r="D8" i="36"/>
  <c r="D7" i="36"/>
  <c r="D28" i="36" s="1"/>
  <c r="D6" i="36"/>
  <c r="D5" i="36"/>
  <c r="D4" i="36"/>
  <c r="D29" i="36" s="1"/>
  <c r="D3" i="36"/>
  <c r="D2" i="36"/>
  <c r="D27" i="36" s="1"/>
  <c r="D60" i="35"/>
  <c r="C60" i="35"/>
  <c r="B60" i="35"/>
  <c r="D59" i="35"/>
  <c r="C59" i="35"/>
  <c r="B59" i="35"/>
  <c r="C58" i="35"/>
  <c r="B58" i="35"/>
  <c r="C29" i="35"/>
  <c r="B29" i="35"/>
  <c r="C28" i="35"/>
  <c r="B28" i="35"/>
  <c r="C27" i="35"/>
  <c r="B27" i="35"/>
  <c r="D26" i="35"/>
  <c r="D25" i="35"/>
  <c r="D24" i="35"/>
  <c r="D23" i="35"/>
  <c r="D22" i="35"/>
  <c r="D21" i="35"/>
  <c r="D20" i="35"/>
  <c r="D19" i="35"/>
  <c r="D18" i="35"/>
  <c r="D17" i="35"/>
  <c r="D16" i="35"/>
  <c r="D15" i="35"/>
  <c r="D14" i="35"/>
  <c r="D13" i="35"/>
  <c r="D12" i="35"/>
  <c r="D11" i="35"/>
  <c r="D29" i="35" s="1"/>
  <c r="D10" i="35"/>
  <c r="D9" i="35"/>
  <c r="D8" i="35"/>
  <c r="D7" i="35"/>
  <c r="D6" i="35"/>
  <c r="D5" i="35"/>
  <c r="D4" i="35"/>
  <c r="D3" i="35"/>
  <c r="D28" i="35" s="1"/>
  <c r="D2" i="35"/>
  <c r="D27" i="35" s="1"/>
  <c r="D60" i="34"/>
  <c r="D59" i="34"/>
  <c r="C59" i="34"/>
  <c r="B59" i="34"/>
  <c r="C58" i="34"/>
  <c r="C60" i="34" s="1"/>
  <c r="B58" i="34"/>
  <c r="B60" i="34" s="1"/>
  <c r="C29" i="34"/>
  <c r="B29" i="34"/>
  <c r="C28" i="34"/>
  <c r="B28" i="34"/>
  <c r="C27" i="34"/>
  <c r="B27" i="34"/>
  <c r="D26" i="34"/>
  <c r="D25" i="34"/>
  <c r="D24" i="34"/>
  <c r="D23" i="34"/>
  <c r="D22" i="34"/>
  <c r="D21" i="34"/>
  <c r="D20" i="34"/>
  <c r="D19" i="34"/>
  <c r="D18" i="34"/>
  <c r="D17" i="34"/>
  <c r="D16" i="34"/>
  <c r="D15" i="34"/>
  <c r="D14" i="34"/>
  <c r="D13" i="34"/>
  <c r="D12" i="34"/>
  <c r="D11" i="34"/>
  <c r="D10" i="34"/>
  <c r="D9" i="34"/>
  <c r="D8" i="34"/>
  <c r="D7" i="34"/>
  <c r="D6" i="34"/>
  <c r="D5" i="34"/>
  <c r="D27" i="34" s="1"/>
  <c r="D4" i="34"/>
  <c r="D3" i="34"/>
  <c r="D28" i="34" s="1"/>
  <c r="D2" i="34"/>
  <c r="D60" i="33"/>
  <c r="B60" i="33"/>
  <c r="D59" i="33"/>
  <c r="C59" i="33"/>
  <c r="B59" i="33"/>
  <c r="C58" i="33"/>
  <c r="C60" i="33" s="1"/>
  <c r="B58" i="33"/>
  <c r="C29" i="33"/>
  <c r="B29" i="33"/>
  <c r="C28" i="33"/>
  <c r="B28" i="33"/>
  <c r="C27" i="33"/>
  <c r="B27" i="33"/>
  <c r="D26" i="33"/>
  <c r="D25" i="33"/>
  <c r="D24" i="33"/>
  <c r="D23" i="33"/>
  <c r="D22" i="33"/>
  <c r="D21" i="33"/>
  <c r="D20" i="33"/>
  <c r="D19" i="33"/>
  <c r="D18" i="33"/>
  <c r="D17" i="33"/>
  <c r="D16" i="33"/>
  <c r="D15" i="33"/>
  <c r="D14" i="33"/>
  <c r="D13" i="33"/>
  <c r="D12" i="33"/>
  <c r="D11" i="33"/>
  <c r="D10" i="33"/>
  <c r="D9" i="33"/>
  <c r="D8" i="33"/>
  <c r="D7" i="33"/>
  <c r="D6" i="33"/>
  <c r="D5" i="33"/>
  <c r="D28" i="33" s="1"/>
  <c r="D4" i="33"/>
  <c r="D29" i="33" s="1"/>
  <c r="D3" i="33"/>
  <c r="D2" i="33"/>
  <c r="D60" i="32"/>
  <c r="C60" i="32"/>
  <c r="B60" i="32"/>
  <c r="D59" i="32"/>
  <c r="C59" i="32"/>
  <c r="B59" i="32"/>
  <c r="C58" i="32"/>
  <c r="B58" i="32"/>
  <c r="D29" i="32"/>
  <c r="C29" i="32"/>
  <c r="B29" i="32"/>
  <c r="D28" i="32"/>
  <c r="C28" i="32"/>
  <c r="B28" i="32"/>
  <c r="C27" i="32"/>
  <c r="B27" i="32"/>
  <c r="D26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2" i="32"/>
  <c r="D11" i="32"/>
  <c r="D10" i="32"/>
  <c r="D9" i="32"/>
  <c r="D8" i="32"/>
  <c r="D7" i="32"/>
  <c r="D6" i="32"/>
  <c r="D5" i="32"/>
  <c r="D4" i="32"/>
  <c r="D3" i="32"/>
  <c r="D2" i="32"/>
  <c r="D27" i="32" s="1"/>
  <c r="D60" i="31"/>
  <c r="C60" i="31"/>
  <c r="B60" i="31"/>
  <c r="D59" i="31"/>
  <c r="C59" i="31"/>
  <c r="B59" i="31"/>
  <c r="C58" i="31"/>
  <c r="B58" i="31"/>
  <c r="D29" i="31"/>
  <c r="C29" i="31"/>
  <c r="B29" i="31"/>
  <c r="C28" i="31"/>
  <c r="B28" i="31"/>
  <c r="C27" i="31"/>
  <c r="B27" i="31"/>
  <c r="D26" i="31"/>
  <c r="D25" i="31"/>
  <c r="D24" i="31"/>
  <c r="D23" i="31"/>
  <c r="D22" i="31"/>
  <c r="D21" i="31"/>
  <c r="D20" i="31"/>
  <c r="D19" i="31"/>
  <c r="D18" i="31"/>
  <c r="D17" i="31"/>
  <c r="D16" i="31"/>
  <c r="D15" i="31"/>
  <c r="D14" i="31"/>
  <c r="D13" i="31"/>
  <c r="D12" i="31"/>
  <c r="D11" i="31"/>
  <c r="D10" i="31"/>
  <c r="D9" i="31"/>
  <c r="D8" i="31"/>
  <c r="D7" i="31"/>
  <c r="D6" i="31"/>
  <c r="D5" i="31"/>
  <c r="D4" i="31"/>
  <c r="D3" i="31"/>
  <c r="D28" i="31" s="1"/>
  <c r="D2" i="31"/>
  <c r="D27" i="31" s="1"/>
  <c r="D60" i="30"/>
  <c r="D59" i="30"/>
  <c r="C59" i="30"/>
  <c r="B59" i="30"/>
  <c r="C58" i="30"/>
  <c r="C60" i="30" s="1"/>
  <c r="B58" i="30"/>
  <c r="B60" i="30" s="1"/>
  <c r="C29" i="30"/>
  <c r="B29" i="30"/>
  <c r="C28" i="30"/>
  <c r="B28" i="30"/>
  <c r="C27" i="30"/>
  <c r="B27" i="30"/>
  <c r="D26" i="30"/>
  <c r="D25" i="30"/>
  <c r="D24" i="30"/>
  <c r="D23" i="30"/>
  <c r="D22" i="30"/>
  <c r="D21" i="30"/>
  <c r="D20" i="30"/>
  <c r="D19" i="30"/>
  <c r="D18" i="30"/>
  <c r="D17" i="30"/>
  <c r="D16" i="30"/>
  <c r="D15" i="30"/>
  <c r="D14" i="30"/>
  <c r="D13" i="30"/>
  <c r="D12" i="30"/>
  <c r="D11" i="30"/>
  <c r="D10" i="30"/>
  <c r="D9" i="30"/>
  <c r="D8" i="30"/>
  <c r="D7" i="30"/>
  <c r="D6" i="30"/>
  <c r="D5" i="30"/>
  <c r="D27" i="30" s="1"/>
  <c r="D4" i="30"/>
  <c r="D3" i="30"/>
  <c r="D28" i="30" s="1"/>
  <c r="D2" i="30"/>
  <c r="D60" i="29"/>
  <c r="D59" i="29"/>
  <c r="C59" i="29"/>
  <c r="B59" i="29"/>
  <c r="C58" i="29"/>
  <c r="C60" i="29" s="1"/>
  <c r="B58" i="29"/>
  <c r="B60" i="29" s="1"/>
  <c r="C29" i="29"/>
  <c r="B29" i="29"/>
  <c r="C28" i="29"/>
  <c r="B28" i="29"/>
  <c r="C27" i="29"/>
  <c r="B27" i="29"/>
  <c r="D26" i="29"/>
  <c r="D25" i="29"/>
  <c r="D24" i="29"/>
  <c r="D23" i="29"/>
  <c r="D22" i="29"/>
  <c r="D21" i="29"/>
  <c r="D20" i="29"/>
  <c r="D19" i="29"/>
  <c r="D18" i="29"/>
  <c r="D17" i="29"/>
  <c r="D16" i="29"/>
  <c r="D15" i="29"/>
  <c r="D14" i="29"/>
  <c r="D13" i="29"/>
  <c r="D12" i="29"/>
  <c r="D11" i="29"/>
  <c r="D10" i="29"/>
  <c r="D9" i="29"/>
  <c r="D8" i="29"/>
  <c r="D7" i="29"/>
  <c r="D6" i="29"/>
  <c r="D5" i="29"/>
  <c r="D28" i="29" s="1"/>
  <c r="D4" i="29"/>
  <c r="D29" i="29" s="1"/>
  <c r="D3" i="29"/>
  <c r="D2" i="29"/>
  <c r="D60" i="28"/>
  <c r="C60" i="28"/>
  <c r="B60" i="28"/>
  <c r="D59" i="28"/>
  <c r="C59" i="28"/>
  <c r="B59" i="28"/>
  <c r="C58" i="28"/>
  <c r="B58" i="28"/>
  <c r="C29" i="28"/>
  <c r="B29" i="28"/>
  <c r="C28" i="28"/>
  <c r="B28" i="28"/>
  <c r="C27" i="28"/>
  <c r="B27" i="28"/>
  <c r="D26" i="28"/>
  <c r="D25" i="28"/>
  <c r="D24" i="28"/>
  <c r="D23" i="28"/>
  <c r="D22" i="28"/>
  <c r="D21" i="28"/>
  <c r="D20" i="28"/>
  <c r="D19" i="28"/>
  <c r="D18" i="28"/>
  <c r="D17" i="28"/>
  <c r="D16" i="28"/>
  <c r="D15" i="28"/>
  <c r="D14" i="28"/>
  <c r="D13" i="28"/>
  <c r="D12" i="28"/>
  <c r="D11" i="28"/>
  <c r="D10" i="28"/>
  <c r="D9" i="28"/>
  <c r="D8" i="28"/>
  <c r="D7" i="28"/>
  <c r="D28" i="28" s="1"/>
  <c r="D6" i="28"/>
  <c r="D5" i="28"/>
  <c r="D4" i="28"/>
  <c r="D29" i="28" s="1"/>
  <c r="D3" i="28"/>
  <c r="D2" i="28"/>
  <c r="D27" i="28" s="1"/>
  <c r="D60" i="27"/>
  <c r="C60" i="27"/>
  <c r="B60" i="27"/>
  <c r="D59" i="27"/>
  <c r="C59" i="27"/>
  <c r="B59" i="27"/>
  <c r="C58" i="27"/>
  <c r="B58" i="27"/>
  <c r="C29" i="27"/>
  <c r="B29" i="27"/>
  <c r="C28" i="27"/>
  <c r="B28" i="27"/>
  <c r="C27" i="27"/>
  <c r="B27" i="27"/>
  <c r="D26" i="27"/>
  <c r="D25" i="27"/>
  <c r="D24" i="27"/>
  <c r="D23" i="27"/>
  <c r="D22" i="27"/>
  <c r="D21" i="27"/>
  <c r="D20" i="27"/>
  <c r="D19" i="27"/>
  <c r="D18" i="27"/>
  <c r="D17" i="27"/>
  <c r="D16" i="27"/>
  <c r="D15" i="27"/>
  <c r="D14" i="27"/>
  <c r="D13" i="27"/>
  <c r="D12" i="27"/>
  <c r="D11" i="27"/>
  <c r="D29" i="27" s="1"/>
  <c r="D10" i="27"/>
  <c r="D9" i="27"/>
  <c r="D8" i="27"/>
  <c r="D7" i="27"/>
  <c r="D6" i="27"/>
  <c r="D5" i="27"/>
  <c r="D4" i="27"/>
  <c r="D3" i="27"/>
  <c r="D28" i="27" s="1"/>
  <c r="D2" i="27"/>
  <c r="D27" i="27" s="1"/>
  <c r="D60" i="26"/>
  <c r="D59" i="26"/>
  <c r="C59" i="26"/>
  <c r="B59" i="26"/>
  <c r="C58" i="26"/>
  <c r="C60" i="26" s="1"/>
  <c r="B58" i="26"/>
  <c r="B60" i="26" s="1"/>
  <c r="C29" i="26"/>
  <c r="B29" i="26"/>
  <c r="C28" i="26"/>
  <c r="B28" i="26"/>
  <c r="C27" i="26"/>
  <c r="B27" i="26"/>
  <c r="D26" i="26"/>
  <c r="D25" i="26"/>
  <c r="D24" i="26"/>
  <c r="D23" i="26"/>
  <c r="D22" i="26"/>
  <c r="D21" i="26"/>
  <c r="D20" i="26"/>
  <c r="D19" i="26"/>
  <c r="D18" i="26"/>
  <c r="D17" i="26"/>
  <c r="D16" i="26"/>
  <c r="D15" i="26"/>
  <c r="D14" i="26"/>
  <c r="D13" i="26"/>
  <c r="D12" i="26"/>
  <c r="D11" i="26"/>
  <c r="D10" i="26"/>
  <c r="D9" i="26"/>
  <c r="D8" i="26"/>
  <c r="D7" i="26"/>
  <c r="D6" i="26"/>
  <c r="D5" i="26"/>
  <c r="D27" i="26" s="1"/>
  <c r="D4" i="26"/>
  <c r="D3" i="26"/>
  <c r="D28" i="26" s="1"/>
  <c r="D2" i="26"/>
  <c r="D60" i="25"/>
  <c r="D59" i="25"/>
  <c r="C59" i="25"/>
  <c r="B59" i="25"/>
  <c r="C58" i="25"/>
  <c r="C60" i="25" s="1"/>
  <c r="B58" i="25"/>
  <c r="B60" i="25" s="1"/>
  <c r="C29" i="25"/>
  <c r="B29" i="25"/>
  <c r="C28" i="25"/>
  <c r="B28" i="25"/>
  <c r="C27" i="25"/>
  <c r="B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D8" i="25"/>
  <c r="D7" i="25"/>
  <c r="D6" i="25"/>
  <c r="D5" i="25"/>
  <c r="D28" i="25" s="1"/>
  <c r="D4" i="25"/>
  <c r="D29" i="25" s="1"/>
  <c r="D3" i="25"/>
  <c r="D2" i="25"/>
  <c r="D60" i="24"/>
  <c r="C60" i="24"/>
  <c r="B60" i="24"/>
  <c r="D59" i="24"/>
  <c r="C59" i="24"/>
  <c r="B59" i="24"/>
  <c r="C58" i="24"/>
  <c r="B58" i="24"/>
  <c r="C29" i="24"/>
  <c r="B29" i="24"/>
  <c r="C28" i="24"/>
  <c r="B28" i="24"/>
  <c r="C27" i="24"/>
  <c r="B27" i="24"/>
  <c r="D26" i="24"/>
  <c r="D25" i="24"/>
  <c r="D24" i="24"/>
  <c r="D23" i="24"/>
  <c r="D22" i="24"/>
  <c r="D21" i="24"/>
  <c r="D20" i="24"/>
  <c r="D19" i="24"/>
  <c r="D18" i="24"/>
  <c r="D17" i="24"/>
  <c r="D16" i="24"/>
  <c r="D15" i="24"/>
  <c r="D14" i="24"/>
  <c r="D13" i="24"/>
  <c r="D12" i="24"/>
  <c r="D11" i="24"/>
  <c r="D10" i="24"/>
  <c r="D9" i="24"/>
  <c r="D8" i="24"/>
  <c r="D7" i="24"/>
  <c r="D6" i="24"/>
  <c r="D5" i="24"/>
  <c r="P4" i="24"/>
  <c r="D4" i="24"/>
  <c r="D29" i="24" s="1"/>
  <c r="P3" i="24"/>
  <c r="D3" i="24"/>
  <c r="D28" i="24" s="1"/>
  <c r="P2" i="24"/>
  <c r="D2" i="24"/>
  <c r="D27" i="24" s="1"/>
  <c r="D60" i="23"/>
  <c r="D59" i="23"/>
  <c r="C59" i="23"/>
  <c r="B59" i="23"/>
  <c r="C58" i="23"/>
  <c r="C60" i="23" s="1"/>
  <c r="B58" i="23"/>
  <c r="B60" i="23" s="1"/>
  <c r="C29" i="23"/>
  <c r="B29" i="23"/>
  <c r="C28" i="23"/>
  <c r="B28" i="23"/>
  <c r="C27" i="23"/>
  <c r="B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8" i="23"/>
  <c r="D7" i="23"/>
  <c r="D6" i="23"/>
  <c r="D5" i="23"/>
  <c r="D4" i="23"/>
  <c r="D29" i="23" s="1"/>
  <c r="D3" i="23"/>
  <c r="D28" i="23" s="1"/>
  <c r="D2" i="23"/>
  <c r="D60" i="22"/>
  <c r="B60" i="22"/>
  <c r="D59" i="22"/>
  <c r="C59" i="22"/>
  <c r="B59" i="22"/>
  <c r="C58" i="22"/>
  <c r="C60" i="22" s="1"/>
  <c r="B58" i="22"/>
  <c r="D29" i="22"/>
  <c r="C29" i="22"/>
  <c r="B29" i="22"/>
  <c r="D28" i="22"/>
  <c r="C28" i="22"/>
  <c r="B28" i="22"/>
  <c r="D27" i="22"/>
  <c r="C27" i="22"/>
  <c r="B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2" i="22"/>
  <c r="D60" i="21"/>
  <c r="C60" i="21"/>
  <c r="B60" i="21"/>
  <c r="D59" i="21"/>
  <c r="C59" i="21"/>
  <c r="B59" i="21"/>
  <c r="C58" i="21"/>
  <c r="B58" i="21"/>
  <c r="C29" i="21"/>
  <c r="B29" i="21"/>
  <c r="C28" i="21"/>
  <c r="B28" i="21"/>
  <c r="C27" i="21"/>
  <c r="B27" i="21"/>
  <c r="D26" i="21"/>
  <c r="D25" i="21"/>
  <c r="D24" i="21"/>
  <c r="D23" i="21"/>
  <c r="D22" i="21"/>
  <c r="D21" i="21"/>
  <c r="D20" i="21"/>
  <c r="D19" i="21"/>
  <c r="D18" i="21"/>
  <c r="D17" i="21"/>
  <c r="D16" i="21"/>
  <c r="D15" i="21"/>
  <c r="D14" i="21"/>
  <c r="D13" i="21"/>
  <c r="D12" i="21"/>
  <c r="D11" i="21"/>
  <c r="D10" i="21"/>
  <c r="D9" i="21"/>
  <c r="D8" i="21"/>
  <c r="D28" i="21" s="1"/>
  <c r="D7" i="21"/>
  <c r="D6" i="21"/>
  <c r="D5" i="21"/>
  <c r="D29" i="21" s="1"/>
  <c r="D4" i="21"/>
  <c r="D3" i="21"/>
  <c r="D2" i="21"/>
  <c r="D27" i="21" s="1"/>
  <c r="D60" i="20"/>
  <c r="C60" i="20"/>
  <c r="D59" i="20"/>
  <c r="C59" i="20"/>
  <c r="B59" i="20"/>
  <c r="C58" i="20"/>
  <c r="B58" i="20"/>
  <c r="B60" i="20" s="1"/>
  <c r="C29" i="20"/>
  <c r="B29" i="20"/>
  <c r="C28" i="20"/>
  <c r="B28" i="20"/>
  <c r="C27" i="20"/>
  <c r="B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  <c r="D29" i="20" s="1"/>
  <c r="D3" i="20"/>
  <c r="D28" i="20" s="1"/>
  <c r="D2" i="20"/>
  <c r="D27" i="20" s="1"/>
  <c r="D60" i="19"/>
  <c r="D59" i="19"/>
  <c r="C59" i="19"/>
  <c r="B59" i="19"/>
  <c r="C58" i="19"/>
  <c r="C60" i="19" s="1"/>
  <c r="B58" i="19"/>
  <c r="B60" i="19" s="1"/>
  <c r="C29" i="19"/>
  <c r="B29" i="19"/>
  <c r="C28" i="19"/>
  <c r="B28" i="19"/>
  <c r="D27" i="19"/>
  <c r="C27" i="19"/>
  <c r="B27" i="19"/>
  <c r="D26" i="19"/>
  <c r="D25" i="19"/>
  <c r="D24" i="19"/>
  <c r="D23" i="19"/>
  <c r="D22" i="19"/>
  <c r="D21" i="19"/>
  <c r="D20" i="19"/>
  <c r="D19" i="19"/>
  <c r="D18" i="19"/>
  <c r="D17" i="19"/>
  <c r="D16" i="19"/>
  <c r="D15" i="19"/>
  <c r="D14" i="19"/>
  <c r="D13" i="19"/>
  <c r="D12" i="19"/>
  <c r="D11" i="19"/>
  <c r="D10" i="19"/>
  <c r="D9" i="19"/>
  <c r="D8" i="19"/>
  <c r="D7" i="19"/>
  <c r="D6" i="19"/>
  <c r="D5" i="19"/>
  <c r="D4" i="19"/>
  <c r="D29" i="19" s="1"/>
  <c r="D3" i="19"/>
  <c r="D28" i="19" s="1"/>
  <c r="D2" i="19"/>
  <c r="D60" i="18"/>
  <c r="B60" i="18"/>
  <c r="D59" i="18"/>
  <c r="C59" i="18"/>
  <c r="B59" i="18"/>
  <c r="C58" i="18"/>
  <c r="C60" i="18" s="1"/>
  <c r="B58" i="18"/>
  <c r="C29" i="18"/>
  <c r="B29" i="18"/>
  <c r="C28" i="18"/>
  <c r="B28" i="18"/>
  <c r="C27" i="18"/>
  <c r="B27" i="18"/>
  <c r="D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28" i="18" s="1"/>
  <c r="D7" i="18"/>
  <c r="D6" i="18"/>
  <c r="D29" i="18" s="1"/>
  <c r="D5" i="18"/>
  <c r="D4" i="18"/>
  <c r="D3" i="18"/>
  <c r="D27" i="18" s="1"/>
  <c r="D2" i="18"/>
  <c r="D60" i="17"/>
  <c r="C60" i="17"/>
  <c r="B60" i="17"/>
  <c r="D59" i="17"/>
  <c r="C59" i="17"/>
  <c r="B59" i="17"/>
  <c r="C58" i="17"/>
  <c r="B58" i="17"/>
  <c r="C29" i="17"/>
  <c r="B29" i="17"/>
  <c r="C28" i="17"/>
  <c r="B28" i="17"/>
  <c r="C27" i="17"/>
  <c r="B27" i="17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28" i="17" s="1"/>
  <c r="D7" i="17"/>
  <c r="D6" i="17"/>
  <c r="D5" i="17"/>
  <c r="D29" i="17" s="1"/>
  <c r="D4" i="17"/>
  <c r="D3" i="17"/>
  <c r="D2" i="17"/>
  <c r="D27" i="17" s="1"/>
  <c r="D60" i="16"/>
  <c r="C60" i="16"/>
  <c r="D59" i="16"/>
  <c r="C59" i="16"/>
  <c r="B59" i="16"/>
  <c r="C58" i="16"/>
  <c r="B58" i="16"/>
  <c r="B60" i="16" s="1"/>
  <c r="C29" i="16"/>
  <c r="B29" i="16"/>
  <c r="C28" i="16"/>
  <c r="B28" i="16"/>
  <c r="C27" i="16"/>
  <c r="B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29" i="16" s="1"/>
  <c r="D10" i="16"/>
  <c r="D9" i="16"/>
  <c r="D8" i="16"/>
  <c r="D7" i="16"/>
  <c r="D6" i="16"/>
  <c r="D5" i="16"/>
  <c r="D4" i="16"/>
  <c r="D3" i="16"/>
  <c r="D28" i="16" s="1"/>
  <c r="D2" i="16"/>
  <c r="D27" i="16" s="1"/>
  <c r="D60" i="15"/>
  <c r="D59" i="15"/>
  <c r="C59" i="15"/>
  <c r="B59" i="15"/>
  <c r="C58" i="15"/>
  <c r="C60" i="15" s="1"/>
  <c r="B58" i="15"/>
  <c r="B60" i="15" s="1"/>
  <c r="C29" i="15"/>
  <c r="B29" i="15"/>
  <c r="C28" i="15"/>
  <c r="B28" i="15"/>
  <c r="C27" i="15"/>
  <c r="B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27" i="15" s="1"/>
  <c r="D4" i="15"/>
  <c r="D29" i="15" s="1"/>
  <c r="D3" i="15"/>
  <c r="D28" i="15" s="1"/>
  <c r="D2" i="15"/>
  <c r="D60" i="14"/>
  <c r="B60" i="14"/>
  <c r="D59" i="14"/>
  <c r="C59" i="14"/>
  <c r="B59" i="14"/>
  <c r="C58" i="14"/>
  <c r="C60" i="14" s="1"/>
  <c r="B58" i="14"/>
  <c r="D29" i="14"/>
  <c r="C29" i="14"/>
  <c r="B29" i="14"/>
  <c r="D28" i="14"/>
  <c r="C28" i="14"/>
  <c r="B28" i="14"/>
  <c r="D27" i="14"/>
  <c r="C27" i="14"/>
  <c r="B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D2" i="14"/>
  <c r="D60" i="13"/>
  <c r="C60" i="13"/>
  <c r="B60" i="13"/>
  <c r="D59" i="13"/>
  <c r="C59" i="13"/>
  <c r="B59" i="13"/>
  <c r="C58" i="13"/>
  <c r="B58" i="13"/>
  <c r="D29" i="13"/>
  <c r="C29" i="13"/>
  <c r="B29" i="13"/>
  <c r="D28" i="13"/>
  <c r="C28" i="13"/>
  <c r="B28" i="13"/>
  <c r="C27" i="13"/>
  <c r="B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D27" i="13" s="1"/>
  <c r="D60" i="12"/>
  <c r="C60" i="12"/>
  <c r="D59" i="12"/>
  <c r="C59" i="12"/>
  <c r="B59" i="12"/>
  <c r="C58" i="12"/>
  <c r="B58" i="12"/>
  <c r="B60" i="12" s="1"/>
  <c r="C29" i="12"/>
  <c r="B29" i="12"/>
  <c r="C28" i="12"/>
  <c r="B28" i="12"/>
  <c r="C27" i="12"/>
  <c r="B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29" i="12" s="1"/>
  <c r="D10" i="12"/>
  <c r="D9" i="12"/>
  <c r="D8" i="12"/>
  <c r="D7" i="12"/>
  <c r="D6" i="12"/>
  <c r="D5" i="12"/>
  <c r="D4" i="12"/>
  <c r="D3" i="12"/>
  <c r="D28" i="12" s="1"/>
  <c r="D2" i="12"/>
  <c r="D27" i="12" s="1"/>
  <c r="D60" i="11"/>
  <c r="D59" i="11"/>
  <c r="C59" i="11"/>
  <c r="B59" i="11"/>
  <c r="C58" i="11"/>
  <c r="C60" i="11" s="1"/>
  <c r="B58" i="11"/>
  <c r="B60" i="11" s="1"/>
  <c r="C29" i="11"/>
  <c r="B29" i="11"/>
  <c r="C28" i="11"/>
  <c r="B28" i="11"/>
  <c r="D27" i="11"/>
  <c r="C27" i="11"/>
  <c r="B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29" i="11" s="1"/>
  <c r="D3" i="11"/>
  <c r="D28" i="11" s="1"/>
  <c r="D2" i="11"/>
  <c r="D60" i="10"/>
  <c r="B60" i="10"/>
  <c r="D59" i="10"/>
  <c r="C59" i="10"/>
  <c r="B59" i="10"/>
  <c r="C58" i="10"/>
  <c r="C60" i="10" s="1"/>
  <c r="B58" i="10"/>
  <c r="D29" i="10"/>
  <c r="C29" i="10"/>
  <c r="B29" i="10"/>
  <c r="D28" i="10"/>
  <c r="C28" i="10"/>
  <c r="B28" i="10"/>
  <c r="D27" i="10"/>
  <c r="C27" i="10"/>
  <c r="B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D60" i="9"/>
  <c r="C60" i="9"/>
  <c r="B60" i="9"/>
  <c r="D59" i="9"/>
  <c r="C59" i="9"/>
  <c r="B59" i="9"/>
  <c r="C58" i="9"/>
  <c r="B58" i="9"/>
  <c r="D29" i="9"/>
  <c r="C29" i="9"/>
  <c r="B29" i="9"/>
  <c r="D28" i="9"/>
  <c r="C28" i="9"/>
  <c r="B28" i="9"/>
  <c r="C27" i="9"/>
  <c r="B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D27" i="9" s="1"/>
  <c r="D60" i="8"/>
  <c r="C60" i="8"/>
  <c r="D59" i="8"/>
  <c r="C59" i="8"/>
  <c r="B59" i="8"/>
  <c r="C58" i="8"/>
  <c r="B58" i="8"/>
  <c r="B60" i="8" s="1"/>
  <c r="D29" i="8"/>
  <c r="C29" i="8"/>
  <c r="B29" i="8"/>
  <c r="C28" i="8"/>
  <c r="B28" i="8"/>
  <c r="C27" i="8"/>
  <c r="B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8" i="8" s="1"/>
  <c r="D2" i="8"/>
  <c r="D27" i="8" s="1"/>
  <c r="D60" i="7"/>
  <c r="D59" i="7"/>
  <c r="C59" i="7"/>
  <c r="B59" i="7"/>
  <c r="C58" i="7"/>
  <c r="C60" i="7" s="1"/>
  <c r="B58" i="7"/>
  <c r="B60" i="7" s="1"/>
  <c r="C29" i="7"/>
  <c r="B29" i="7"/>
  <c r="C28" i="7"/>
  <c r="B28" i="7"/>
  <c r="D27" i="7"/>
  <c r="C27" i="7"/>
  <c r="B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29" i="7" s="1"/>
  <c r="D3" i="7"/>
  <c r="D28" i="7" s="1"/>
  <c r="D2" i="7"/>
  <c r="D60" i="6"/>
  <c r="B60" i="6"/>
  <c r="D59" i="6"/>
  <c r="C59" i="6"/>
  <c r="B59" i="6"/>
  <c r="C58" i="6"/>
  <c r="C60" i="6" s="1"/>
  <c r="B58" i="6"/>
  <c r="D29" i="6"/>
  <c r="C29" i="6"/>
  <c r="B29" i="6"/>
  <c r="D28" i="6"/>
  <c r="C28" i="6"/>
  <c r="B28" i="6"/>
  <c r="D27" i="6"/>
  <c r="C27" i="6"/>
  <c r="B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60" i="5"/>
  <c r="C60" i="5"/>
  <c r="B60" i="5"/>
  <c r="D59" i="5"/>
  <c r="C59" i="5"/>
  <c r="B59" i="5"/>
  <c r="C58" i="5"/>
  <c r="B58" i="5"/>
  <c r="D29" i="5"/>
  <c r="C29" i="5"/>
  <c r="B29" i="5"/>
  <c r="D28" i="5"/>
  <c r="C28" i="5"/>
  <c r="B28" i="5"/>
  <c r="C27" i="5"/>
  <c r="B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27" i="5" s="1"/>
  <c r="D60" i="4"/>
  <c r="C60" i="4"/>
  <c r="D59" i="4"/>
  <c r="C59" i="4"/>
  <c r="B59" i="4"/>
  <c r="C58" i="4"/>
  <c r="B58" i="4"/>
  <c r="B60" i="4" s="1"/>
  <c r="C29" i="4"/>
  <c r="B29" i="4"/>
  <c r="C28" i="4"/>
  <c r="B28" i="4"/>
  <c r="C27" i="4"/>
  <c r="B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29" i="4" s="1"/>
  <c r="D9" i="4"/>
  <c r="D8" i="4"/>
  <c r="D7" i="4"/>
  <c r="D6" i="4"/>
  <c r="D5" i="4"/>
  <c r="D4" i="4"/>
  <c r="D3" i="4"/>
  <c r="D28" i="4" s="1"/>
  <c r="D2" i="4"/>
  <c r="D27" i="4" s="1"/>
  <c r="D60" i="3"/>
  <c r="D59" i="3"/>
  <c r="C59" i="3"/>
  <c r="B59" i="3"/>
  <c r="C58" i="3"/>
  <c r="C60" i="3" s="1"/>
  <c r="B58" i="3"/>
  <c r="B60" i="3" s="1"/>
  <c r="C29" i="3"/>
  <c r="B29" i="3"/>
  <c r="C28" i="3"/>
  <c r="B28" i="3"/>
  <c r="C27" i="3"/>
  <c r="B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29" i="3" s="1"/>
  <c r="D3" i="3"/>
  <c r="D28" i="3" s="1"/>
  <c r="D2" i="3"/>
  <c r="D60" i="2"/>
  <c r="B60" i="2"/>
  <c r="D59" i="2"/>
  <c r="C59" i="2"/>
  <c r="B59" i="2"/>
  <c r="C58" i="2"/>
  <c r="C60" i="2" s="1"/>
  <c r="B58" i="2"/>
  <c r="D29" i="2"/>
  <c r="C29" i="2"/>
  <c r="B29" i="2"/>
  <c r="D28" i="2"/>
  <c r="C28" i="2"/>
  <c r="B28" i="2"/>
  <c r="D27" i="2"/>
  <c r="C27" i="2"/>
  <c r="B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27" i="25" l="1"/>
  <c r="D29" i="26"/>
  <c r="D27" i="29"/>
  <c r="D29" i="30"/>
  <c r="D27" i="33"/>
  <c r="D29" i="34"/>
  <c r="D27" i="37"/>
  <c r="D29" i="38"/>
  <c r="D27" i="41"/>
  <c r="D29" i="42"/>
  <c r="D27" i="45"/>
  <c r="D27" i="49"/>
  <c r="D27" i="53"/>
  <c r="D27" i="23"/>
  <c r="D28" i="40"/>
  <c r="D27" i="46"/>
  <c r="D27" i="50"/>
  <c r="D27" i="3"/>
  <c r="D28" i="37"/>
  <c r="D28" i="41"/>
  <c r="D28" i="45"/>
  <c r="D28" i="49"/>
  <c r="D28" i="53"/>
  <c r="D28" i="57"/>
</calcChain>
</file>

<file path=xl/sharedStrings.xml><?xml version="1.0" encoding="utf-8"?>
<sst xmlns="http://schemas.openxmlformats.org/spreadsheetml/2006/main" count="2639" uniqueCount="371">
  <si>
    <t>30221 maybe</t>
  </si>
  <si>
    <t>absolutely i am only finding one sterigmate basidia really</t>
  </si>
  <si>
    <t>Basidiospore</t>
  </si>
  <si>
    <t>Length</t>
  </si>
  <si>
    <t>Width</t>
  </si>
  <si>
    <t>Q (length/width)</t>
  </si>
  <si>
    <t>Hyaline?</t>
  </si>
  <si>
    <t>Decoration?</t>
  </si>
  <si>
    <t>Amyloid</t>
  </si>
  <si>
    <t>Shape</t>
  </si>
  <si>
    <t>Avg</t>
  </si>
  <si>
    <t>Min</t>
  </si>
  <si>
    <t>Max</t>
  </si>
  <si>
    <t>Basidia (10x)</t>
  </si>
  <si>
    <t>Sterigma count</t>
  </si>
  <si>
    <t>Sterigma Length</t>
  </si>
  <si>
    <t>Note</t>
  </si>
  <si>
    <t>Photos</t>
  </si>
  <si>
    <t>N/A</t>
  </si>
  <si>
    <t>Inner tissue of volval remnants on stipe</t>
  </si>
  <si>
    <t>Composition</t>
  </si>
  <si>
    <t>Filamentous hyphae</t>
  </si>
  <si>
    <t>Inflated hyphae</t>
  </si>
  <si>
    <t>FH width</t>
  </si>
  <si>
    <t>IH length</t>
  </si>
  <si>
    <t>IH width</t>
  </si>
  <si>
    <t>Clamp connections</t>
  </si>
  <si>
    <t>Occurrence</t>
  </si>
  <si>
    <t>Cups</t>
  </si>
  <si>
    <t>yes</t>
  </si>
  <si>
    <t>smooth</t>
  </si>
  <si>
    <t>ellipsoid</t>
  </si>
  <si>
    <t>snap_189</t>
  </si>
  <si>
    <t>snap_191</t>
  </si>
  <si>
    <t>stubs</t>
  </si>
  <si>
    <t>no</t>
  </si>
  <si>
    <t>snap_075</t>
  </si>
  <si>
    <t>tapers quickly, very thin (1.5 micrometers)</t>
  </si>
  <si>
    <t>sterigma stubby, maybe already release spores?</t>
  </si>
  <si>
    <t>none seen</t>
  </si>
  <si>
    <t>snap 075 2</t>
  </si>
  <si>
    <t>clavate</t>
  </si>
  <si>
    <t>snap077</t>
  </si>
  <si>
    <t>snap078</t>
  </si>
  <si>
    <t>snap118 2</t>
  </si>
  <si>
    <t>snap119 3</t>
  </si>
  <si>
    <t>inspected a lot of lamellar tissue and only found this one really messed up basidia</t>
  </si>
  <si>
    <t>but could tell there were 4 ster</t>
  </si>
  <si>
    <t>snap065</t>
  </si>
  <si>
    <t>snap066</t>
  </si>
  <si>
    <t>snap061</t>
  </si>
  <si>
    <t>snap062</t>
  </si>
  <si>
    <t>snap063</t>
  </si>
  <si>
    <t>snap064</t>
  </si>
  <si>
    <t>snap067</t>
  </si>
  <si>
    <t>snap068</t>
  </si>
  <si>
    <t>snap071</t>
  </si>
  <si>
    <t>Basidia looked degraded for the most part and uncommon to rare</t>
  </si>
  <si>
    <t>snap069</t>
  </si>
  <si>
    <t>shows degraded basidia</t>
  </si>
  <si>
    <t>snap072</t>
  </si>
  <si>
    <t>0/0</t>
  </si>
  <si>
    <t>frequent</t>
  </si>
  <si>
    <t>snap060</t>
  </si>
  <si>
    <t>no basidia found</t>
  </si>
  <si>
    <t>too old</t>
  </si>
  <si>
    <t>no spores or basidia</t>
  </si>
  <si>
    <t>I believe so</t>
  </si>
  <si>
    <t>snap053</t>
  </si>
  <si>
    <t>snap058</t>
  </si>
  <si>
    <t>clavate thick</t>
  </si>
  <si>
    <t>1 but could be more</t>
  </si>
  <si>
    <t>0/1</t>
  </si>
  <si>
    <t>snap_060</t>
  </si>
  <si>
    <t>4 (stubs)</t>
  </si>
  <si>
    <t>2 (stubs)</t>
  </si>
  <si>
    <t>1?</t>
  </si>
  <si>
    <t>1 (stub)</t>
  </si>
  <si>
    <t>snap_058</t>
  </si>
  <si>
    <t>left</t>
  </si>
  <si>
    <t>1.5 (stub)</t>
  </si>
  <si>
    <t>right</t>
  </si>
  <si>
    <t>many "1" that looked like this were found. 2 that were still developing?</t>
  </si>
  <si>
    <t>31+</t>
  </si>
  <si>
    <t>snap_059</t>
  </si>
  <si>
    <t>28+</t>
  </si>
  <si>
    <t>30+</t>
  </si>
  <si>
    <t>obstruced</t>
  </si>
  <si>
    <t>present, infrequent</t>
  </si>
  <si>
    <t>snap_056</t>
  </si>
  <si>
    <t>5 (stubs)</t>
  </si>
  <si>
    <t>dirty, no universal veil</t>
  </si>
  <si>
    <t>snap_061</t>
  </si>
  <si>
    <t>snap_064</t>
  </si>
  <si>
    <t>top</t>
  </si>
  <si>
    <t xml:space="preserve">middle </t>
  </si>
  <si>
    <t>bottom</t>
  </si>
  <si>
    <t>snap_062</t>
  </si>
  <si>
    <t>snap_063</t>
  </si>
  <si>
    <t>did not measure any in clumps</t>
  </si>
  <si>
    <t>23 (at least)</t>
  </si>
  <si>
    <t>2?</t>
  </si>
  <si>
    <t>snap_065 2</t>
  </si>
  <si>
    <t>subglobose</t>
  </si>
  <si>
    <t>snap048 2</t>
  </si>
  <si>
    <t>clavate but slight constriction towards top</t>
  </si>
  <si>
    <t>snap 051</t>
  </si>
  <si>
    <t>snap052</t>
  </si>
  <si>
    <t>0/2</t>
  </si>
  <si>
    <t>sterigma are thick</t>
  </si>
  <si>
    <t>look like horns</t>
  </si>
  <si>
    <t>snap046 2</t>
  </si>
  <si>
    <t>no occurence</t>
  </si>
  <si>
    <t>undeveloped?</t>
  </si>
  <si>
    <t>snap_039</t>
  </si>
  <si>
    <t>snap_041</t>
  </si>
  <si>
    <t>snap_033</t>
  </si>
  <si>
    <t>snap_042</t>
  </si>
  <si>
    <t>snap_045</t>
  </si>
  <si>
    <t>This looks like a basidia is trapped within the gill?</t>
  </si>
  <si>
    <t>snap_044</t>
  </si>
  <si>
    <t>snap_043</t>
  </si>
  <si>
    <t>snap160 2</t>
  </si>
  <si>
    <t>snap 163 2</t>
  </si>
  <si>
    <t>shows how degraded most of the hymenial tissue looks</t>
  </si>
  <si>
    <t>specimen is having sequence issues as well</t>
  </si>
  <si>
    <t>seems like there is a lot of bacteria with every slide I make that I haven't really seen before??</t>
  </si>
  <si>
    <t>snap164 2</t>
  </si>
  <si>
    <t>best basidia I could find</t>
  </si>
  <si>
    <t>snap_184</t>
  </si>
  <si>
    <t>many more 4 than 2, but both present. All basidia with spores attached to sterigma were unmeasurable because their base was covered.</t>
  </si>
  <si>
    <t>present, relatively infrequent</t>
  </si>
  <si>
    <t>clavate thick stock</t>
  </si>
  <si>
    <t>snap046</t>
  </si>
  <si>
    <t>nubs</t>
  </si>
  <si>
    <t>abundant</t>
  </si>
  <si>
    <t>subcommon</t>
  </si>
  <si>
    <t>present and common</t>
  </si>
  <si>
    <t>yes (light reaction)</t>
  </si>
  <si>
    <t>snap_178</t>
  </si>
  <si>
    <t>snap_181</t>
  </si>
  <si>
    <t>very long</t>
  </si>
  <si>
    <t>a lot have a bulge coming out (snap_182)</t>
  </si>
  <si>
    <t>present</t>
  </si>
  <si>
    <t>yep(snap039)</t>
  </si>
  <si>
    <t>globose-subglobose</t>
  </si>
  <si>
    <t>snap032</t>
  </si>
  <si>
    <t>snap032 2</t>
  </si>
  <si>
    <t>snap038 just shows a view clearly able to see all 4 sterigma</t>
  </si>
  <si>
    <t>snap035-037</t>
  </si>
  <si>
    <t>focus stack to show base of basidia no clamp</t>
  </si>
  <si>
    <t>very few inflated cells</t>
  </si>
  <si>
    <t>snap040</t>
  </si>
  <si>
    <t>snap_172</t>
  </si>
  <si>
    <t>snap_175</t>
  </si>
  <si>
    <t>snap_176, snap 177</t>
  </si>
  <si>
    <t>covered</t>
  </si>
  <si>
    <t>diff spore under 100x</t>
  </si>
  <si>
    <t>snap_119</t>
  </si>
  <si>
    <t>snap_113</t>
  </si>
  <si>
    <t>snap_117</t>
  </si>
  <si>
    <t>&gt;20</t>
  </si>
  <si>
    <t>snap_120</t>
  </si>
  <si>
    <t>snap_122</t>
  </si>
  <si>
    <t>snap_121</t>
  </si>
  <si>
    <t>not observed</t>
  </si>
  <si>
    <t>Yes</t>
  </si>
  <si>
    <t>snap165_2</t>
  </si>
  <si>
    <t>snap163_2</t>
  </si>
  <si>
    <t>good photo showing we can see septa at broken off basidia and so can measure</t>
  </si>
  <si>
    <t>snap167_2</t>
  </si>
  <si>
    <t>It has an interesting arangement for three spores but I believe there's a folded sterigma behind</t>
  </si>
  <si>
    <t>common</t>
  </si>
  <si>
    <t>snap168</t>
  </si>
  <si>
    <t>shows a terminal inflated hyphal cell</t>
  </si>
  <si>
    <t>snap169</t>
  </si>
  <si>
    <t>shows wrinkled nature of inflated cells</t>
  </si>
  <si>
    <t>snap_110</t>
  </si>
  <si>
    <t>picked gills from base near stipe, a ton of spores</t>
  </si>
  <si>
    <t>snap_111</t>
  </si>
  <si>
    <t>clavate and narrowing towards sterigma</t>
  </si>
  <si>
    <t>snap170</t>
  </si>
  <si>
    <t>basidia with base visible and premature spores</t>
  </si>
  <si>
    <t>snap171</t>
  </si>
  <si>
    <t>0/3</t>
  </si>
  <si>
    <t>present, frequent</t>
  </si>
  <si>
    <t>snap153 2</t>
  </si>
  <si>
    <t>snap154</t>
  </si>
  <si>
    <t>sterigma scrunched</t>
  </si>
  <si>
    <t>snap156</t>
  </si>
  <si>
    <t>snap158 2</t>
  </si>
  <si>
    <t>I am being really conservative about calling anything that isn't 2 or 4. I really don't see how this could have 4 sterigma</t>
  </si>
  <si>
    <t>snap159</t>
  </si>
  <si>
    <t>same as above</t>
  </si>
  <si>
    <t>snap155</t>
  </si>
  <si>
    <t>snap157</t>
  </si>
  <si>
    <t>snap_108</t>
  </si>
  <si>
    <t>not quite inflated cell but larger than the FH</t>
  </si>
  <si>
    <t>snap143 2</t>
  </si>
  <si>
    <t>snap144 2</t>
  </si>
  <si>
    <t>wanted to focus stack but too much movement. Tried to get a shot that showed all three. Really couldn't seen any signs of a fourth</t>
  </si>
  <si>
    <t>snap151 2</t>
  </si>
  <si>
    <t>0/7</t>
  </si>
  <si>
    <t>10,5</t>
  </si>
  <si>
    <t>snap165-167</t>
  </si>
  <si>
    <t>images showing how we can see spores that are stacked on top of one another; good example showing we should be able to see glimpses of hidden spores and the likelihood of missing a spore/sterigma is relatively low if being careful and observant</t>
  </si>
  <si>
    <t>snap_107</t>
  </si>
  <si>
    <t>4?</t>
  </si>
  <si>
    <t>snap_106</t>
  </si>
  <si>
    <t>snap_104</t>
  </si>
  <si>
    <t>appears to be shriviled but still has 4 sterigma with spores (focus only captures 2 spores)</t>
  </si>
  <si>
    <t>snap_090</t>
  </si>
  <si>
    <t>clavate slim</t>
  </si>
  <si>
    <t>snap131</t>
  </si>
  <si>
    <t>1 sters seem longer</t>
  </si>
  <si>
    <t>snap142</t>
  </si>
  <si>
    <t>snap119 2</t>
  </si>
  <si>
    <t>snap121 2</t>
  </si>
  <si>
    <t>snap122 2</t>
  </si>
  <si>
    <t>snap124</t>
  </si>
  <si>
    <t>snap133-139</t>
  </si>
  <si>
    <t>snap125</t>
  </si>
  <si>
    <t>snap126-129</t>
  </si>
  <si>
    <t>snap140</t>
  </si>
  <si>
    <t>snap141</t>
  </si>
  <si>
    <t>none</t>
  </si>
  <si>
    <t>these spores found in different area than the rest</t>
  </si>
  <si>
    <t>snap_087</t>
  </si>
  <si>
    <t>snap_088</t>
  </si>
  <si>
    <t>snap123-128</t>
  </si>
  <si>
    <t>snap129</t>
  </si>
  <si>
    <t>scrunched</t>
  </si>
  <si>
    <t>snap130</t>
  </si>
  <si>
    <t>snap122</t>
  </si>
  <si>
    <t>snap_089</t>
  </si>
  <si>
    <t>(collapsed basidia)</t>
  </si>
  <si>
    <t>snap_027</t>
  </si>
  <si>
    <t>over 21, can not see end</t>
  </si>
  <si>
    <t>snap_030</t>
  </si>
  <si>
    <t>subelliptic</t>
  </si>
  <si>
    <t>snap105</t>
  </si>
  <si>
    <t>snap109</t>
  </si>
  <si>
    <t>snap_084</t>
  </si>
  <si>
    <t>yes it actually looks like it only has two sterigma - first two-sterigma seen</t>
  </si>
  <si>
    <t>picture didn't save :(</t>
  </si>
  <si>
    <t>snap_086</t>
  </si>
  <si>
    <t>snap_085</t>
  </si>
  <si>
    <t>yes?</t>
  </si>
  <si>
    <t>snap_066</t>
  </si>
  <si>
    <t>VERY doutbful it's 2</t>
  </si>
  <si>
    <t>lots of 4's oncce you focus through, lots of them but small and hard to measure (not many that look like the ones I measured below)</t>
  </si>
  <si>
    <t>Cup thing</t>
  </si>
  <si>
    <t>seen</t>
  </si>
  <si>
    <t>globose</t>
  </si>
  <si>
    <t>clavate with extremely narrow base</t>
  </si>
  <si>
    <t>snap163</t>
  </si>
  <si>
    <t>snap101</t>
  </si>
  <si>
    <t>snap102</t>
  </si>
  <si>
    <t>snap103 shows maybe 2 ster with one broken off</t>
  </si>
  <si>
    <t>na</t>
  </si>
  <si>
    <t>No volval tissue on specimen; likely had a base but not on the specimen</t>
  </si>
  <si>
    <t>no?</t>
  </si>
  <si>
    <t>snap_067</t>
  </si>
  <si>
    <t>snap121</t>
  </si>
  <si>
    <t>Cup-like structure</t>
  </si>
  <si>
    <t>a couple seen, but not many</t>
  </si>
  <si>
    <t>snap_143</t>
  </si>
  <si>
    <t>snap_144</t>
  </si>
  <si>
    <t>snap_146</t>
  </si>
  <si>
    <t>snap_147</t>
  </si>
  <si>
    <t>might pull tisue from UV on pilleus when volval tissue on the base of the stipe isn't evident</t>
  </si>
  <si>
    <t>Cup-thing</t>
  </si>
  <si>
    <t>snap_055</t>
  </si>
  <si>
    <t>sterigma as nubs</t>
  </si>
  <si>
    <t>snap149</t>
  </si>
  <si>
    <t xml:space="preserve"> </t>
  </si>
  <si>
    <t>snap150</t>
  </si>
  <si>
    <t>snap151</t>
  </si>
  <si>
    <t>present but rare</t>
  </si>
  <si>
    <t>0/4</t>
  </si>
  <si>
    <t>clavate thick stalk</t>
  </si>
  <si>
    <t>sterigma seem collapsed</t>
  </si>
  <si>
    <t>collapsed sterigma</t>
  </si>
  <si>
    <t>snap038</t>
  </si>
  <si>
    <t>snap039</t>
  </si>
  <si>
    <t>snap041</t>
  </si>
  <si>
    <t>almost looks like meiosis at base</t>
  </si>
  <si>
    <t>had spores growing on sterigma</t>
  </si>
  <si>
    <t>very inflated top</t>
  </si>
  <si>
    <t>snap_134</t>
  </si>
  <si>
    <t>random</t>
  </si>
  <si>
    <t>plentiful/dominant</t>
  </si>
  <si>
    <t>Cup Thing</t>
  </si>
  <si>
    <t>Snap_133</t>
  </si>
  <si>
    <t>0/5</t>
  </si>
  <si>
    <t>these 5 hand measured</t>
  </si>
  <si>
    <t>snap_129</t>
  </si>
  <si>
    <t>really thin bottom, very wide top, quickly thins, on all basidia</t>
  </si>
  <si>
    <t>snap161</t>
  </si>
  <si>
    <t>snap_118</t>
  </si>
  <si>
    <t>snap152</t>
  </si>
  <si>
    <t>snap_123</t>
  </si>
  <si>
    <t>snap153</t>
  </si>
  <si>
    <t>no clamp</t>
  </si>
  <si>
    <t>snap158</t>
  </si>
  <si>
    <t>snap160</t>
  </si>
  <si>
    <t>photos</t>
  </si>
  <si>
    <t>snap013</t>
  </si>
  <si>
    <t>snap006&amp;008 for another cup</t>
  </si>
  <si>
    <t>thinly clavate</t>
  </si>
  <si>
    <t>snap009 shows collapsing basidia</t>
  </si>
  <si>
    <t>snap002</t>
  </si>
  <si>
    <t>snap004</t>
  </si>
  <si>
    <t>also show cups</t>
  </si>
  <si>
    <t>snap005</t>
  </si>
  <si>
    <t>snap007</t>
  </si>
  <si>
    <t>top of basidia is collapsing n may be what these cups come from??</t>
  </si>
  <si>
    <t>snap011</t>
  </si>
  <si>
    <t>snap010</t>
  </si>
  <si>
    <t>snap012 displays mysterious bubble at base of basidia</t>
  </si>
  <si>
    <t>snap027</t>
  </si>
  <si>
    <t>Random</t>
  </si>
  <si>
    <t>Dominant</t>
  </si>
  <si>
    <t>Common</t>
  </si>
  <si>
    <t>snap_065</t>
  </si>
  <si>
    <t>snap110</t>
  </si>
  <si>
    <t>There are really strange wrinkled cup like structures protruding from hyminium where basidia are located (snap106&amp;98)</t>
  </si>
  <si>
    <t>uncertain on sterigma count</t>
  </si>
  <si>
    <t>sterigma are tiny and hard to measure well</t>
  </si>
  <si>
    <t>sterigma leaning to one side</t>
  </si>
  <si>
    <t>snap116</t>
  </si>
  <si>
    <t>snap092</t>
  </si>
  <si>
    <t>snap097</t>
  </si>
  <si>
    <t>stocky sterigma</t>
  </si>
  <si>
    <t>the basidia are strange on this specimen snap113&amp;99 2</t>
  </si>
  <si>
    <t>really small snap116</t>
  </si>
  <si>
    <t>dominant</t>
  </si>
  <si>
    <t>rare</t>
  </si>
  <si>
    <t>Green in KOH(?)</t>
  </si>
  <si>
    <t>3?</t>
  </si>
  <si>
    <t>snap 69</t>
  </si>
  <si>
    <t>snap 71</t>
  </si>
  <si>
    <t>snap 72</t>
  </si>
  <si>
    <t>snap90</t>
  </si>
  <si>
    <t>?</t>
  </si>
  <si>
    <t>snap 117</t>
  </si>
  <si>
    <t>only</t>
  </si>
  <si>
    <t>average:</t>
  </si>
  <si>
    <t>snap 088 - amyloid</t>
  </si>
  <si>
    <t>snap 090</t>
  </si>
  <si>
    <t>snap 094</t>
  </si>
  <si>
    <t>dif</t>
  </si>
  <si>
    <t>2(?)</t>
  </si>
  <si>
    <t>NA</t>
  </si>
  <si>
    <t>perimeter yes inside no</t>
  </si>
  <si>
    <t>snap054</t>
  </si>
  <si>
    <t>snap055</t>
  </si>
  <si>
    <t>snap056</t>
  </si>
  <si>
    <t>snap057</t>
  </si>
  <si>
    <t>Clavate</t>
  </si>
  <si>
    <t>snap35</t>
  </si>
  <si>
    <t>immature</t>
  </si>
  <si>
    <t>snap36&amp;37</t>
  </si>
  <si>
    <t>too small</t>
  </si>
  <si>
    <t>clavate thin bottom</t>
  </si>
  <si>
    <t>snap38</t>
  </si>
  <si>
    <t>3(?)</t>
  </si>
  <si>
    <t>4.2 (to difficult to find start)</t>
  </si>
  <si>
    <t>snap048</t>
  </si>
  <si>
    <t>snap049</t>
  </si>
  <si>
    <t>all nubs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</si>
</sst>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&quot;Aptos Narrow&quot;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0" fontId="2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2" fillId="0" borderId="0" xfId="0" applyFont="1"/>
    <xf numFmtId="0" fontId="3" fillId="2" borderId="0" xfId="0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1" fontId="2" fillId="0" borderId="0" xfId="0" applyNumberFormat="1" applyFont="1" applyAlignment="1">
      <alignment horizontal="right"/>
    </xf>
    <xf numFmtId="1" fontId="1" fillId="0" borderId="0" xfId="0" applyNumberFormat="1" applyFont="1"/>
    <xf numFmtId="1" fontId="3" fillId="0" borderId="0" xfId="0" applyNumberFormat="1" applyFont="1" applyAlignment="1">
      <alignment horizontal="right"/>
    </xf>
    <xf numFmtId="0" fontId="3" fillId="0" borderId="0" xfId="0" applyFont="1"/>
    <xf numFmtId="0" fontId="3" fillId="2" borderId="0" xfId="0" applyFont="1" applyFill="1"/>
    <xf numFmtId="164" fontId="1" fillId="0" borderId="0" xfId="0" applyNumberFormat="1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9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164" fontId="2" fillId="0" borderId="0" xfId="0" applyNumberFormat="1" applyFont="1"/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"/>
  <sheetViews>
    <sheetView workbookViewId="0"/>
  </sheetViews>
  <sheetFormatPr baseColWidth="10" defaultColWidth="12.6640625" defaultRowHeight="15.75" customHeight="1"/>
  <sheetData>
    <row r="1" spans="1:2" ht="15.75" customHeight="1">
      <c r="A1" s="1">
        <v>30182</v>
      </c>
    </row>
    <row r="2" spans="1:2" ht="15.75" customHeight="1">
      <c r="A2" s="1">
        <v>30186</v>
      </c>
    </row>
    <row r="3" spans="1:2" ht="15.75" customHeight="1">
      <c r="A3" s="1">
        <v>30194</v>
      </c>
    </row>
    <row r="4" spans="1:2" ht="15.75" customHeight="1">
      <c r="A4" s="1">
        <v>30197</v>
      </c>
    </row>
    <row r="5" spans="1:2" ht="15.75" customHeight="1">
      <c r="A5" s="1">
        <v>30199</v>
      </c>
    </row>
    <row r="6" spans="1:2" ht="15.75" customHeight="1">
      <c r="A6" s="1">
        <v>30203</v>
      </c>
    </row>
    <row r="7" spans="1:2" ht="15.75" customHeight="1">
      <c r="A7" s="1">
        <v>30212</v>
      </c>
    </row>
    <row r="8" spans="1:2" ht="15.75" customHeight="1">
      <c r="A8" s="1" t="s">
        <v>0</v>
      </c>
    </row>
    <row r="9" spans="1:2" ht="15.75" customHeight="1">
      <c r="A9" s="1">
        <v>30249</v>
      </c>
      <c r="B9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6"/>
  <sheetViews>
    <sheetView workbookViewId="0"/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5"/>
      <c r="C2" s="5"/>
      <c r="D2" s="6" t="e">
        <f t="shared" ref="D2:D26" si="0">B2/C2</f>
        <v>#DIV/0!</v>
      </c>
      <c r="E2" s="7"/>
      <c r="F2" s="7"/>
      <c r="G2" s="7"/>
      <c r="H2" s="7"/>
    </row>
    <row r="3" spans="1:8" ht="15.75" customHeight="1">
      <c r="A3" s="4">
        <v>2</v>
      </c>
      <c r="B3" s="5"/>
      <c r="C3" s="5"/>
      <c r="D3" s="6" t="e">
        <f t="shared" si="0"/>
        <v>#DIV/0!</v>
      </c>
      <c r="E3" s="7"/>
      <c r="F3" s="7"/>
      <c r="G3" s="7"/>
      <c r="H3" s="7"/>
    </row>
    <row r="4" spans="1:8" ht="15.75" customHeight="1">
      <c r="A4" s="4">
        <v>3</v>
      </c>
      <c r="B4" s="5"/>
      <c r="C4" s="5"/>
      <c r="D4" s="6" t="e">
        <f t="shared" si="0"/>
        <v>#DIV/0!</v>
      </c>
      <c r="E4" s="7"/>
      <c r="F4" s="7"/>
      <c r="G4" s="7"/>
      <c r="H4" s="7"/>
    </row>
    <row r="5" spans="1:8" ht="15.75" customHeight="1">
      <c r="A5" s="4">
        <v>4</v>
      </c>
      <c r="B5" s="5"/>
      <c r="C5" s="5"/>
      <c r="D5" s="6" t="e">
        <f t="shared" si="0"/>
        <v>#DIV/0!</v>
      </c>
      <c r="E5" s="7"/>
      <c r="F5" s="7"/>
      <c r="G5" s="7"/>
      <c r="H5" s="7"/>
    </row>
    <row r="6" spans="1:8" ht="15.75" customHeight="1">
      <c r="A6" s="4">
        <v>5</v>
      </c>
      <c r="B6" s="5"/>
      <c r="C6" s="5"/>
      <c r="D6" s="6" t="e">
        <f t="shared" si="0"/>
        <v>#DIV/0!</v>
      </c>
      <c r="E6" s="7"/>
      <c r="F6" s="7"/>
      <c r="G6" s="7"/>
      <c r="H6" s="7"/>
    </row>
    <row r="7" spans="1:8" ht="15.75" customHeight="1">
      <c r="A7" s="4">
        <v>6</v>
      </c>
      <c r="B7" s="5"/>
      <c r="C7" s="5"/>
      <c r="D7" s="6" t="e">
        <f t="shared" si="0"/>
        <v>#DIV/0!</v>
      </c>
      <c r="E7" s="7"/>
      <c r="F7" s="7"/>
      <c r="G7" s="7"/>
      <c r="H7" s="7"/>
    </row>
    <row r="8" spans="1:8" ht="15.75" customHeight="1">
      <c r="A8" s="4">
        <v>7</v>
      </c>
      <c r="B8" s="5"/>
      <c r="C8" s="5"/>
      <c r="D8" s="6" t="e">
        <f t="shared" si="0"/>
        <v>#DIV/0!</v>
      </c>
      <c r="E8" s="7"/>
      <c r="F8" s="7"/>
      <c r="G8" s="7"/>
      <c r="H8" s="7"/>
    </row>
    <row r="9" spans="1:8" ht="15.75" customHeight="1">
      <c r="A9" s="4">
        <v>8</v>
      </c>
      <c r="B9" s="5"/>
      <c r="C9" s="5"/>
      <c r="D9" s="6" t="e">
        <f t="shared" si="0"/>
        <v>#DIV/0!</v>
      </c>
      <c r="E9" s="7"/>
      <c r="F9" s="7"/>
      <c r="G9" s="7"/>
      <c r="H9" s="7"/>
    </row>
    <row r="10" spans="1:8" ht="15.75" customHeight="1">
      <c r="A10" s="4">
        <v>9</v>
      </c>
      <c r="B10" s="5"/>
      <c r="C10" s="5"/>
      <c r="D10" s="6" t="e">
        <f t="shared" si="0"/>
        <v>#DIV/0!</v>
      </c>
      <c r="E10" s="7"/>
      <c r="F10" s="7"/>
      <c r="G10" s="7"/>
      <c r="H10" s="7"/>
    </row>
    <row r="11" spans="1:8" ht="15.75" customHeight="1">
      <c r="A11" s="4">
        <v>10</v>
      </c>
      <c r="B11" s="5"/>
      <c r="C11" s="5"/>
      <c r="D11" s="6" t="e">
        <f t="shared" si="0"/>
        <v>#DIV/0!</v>
      </c>
      <c r="E11" s="7"/>
      <c r="F11" s="7"/>
      <c r="G11" s="7"/>
      <c r="H11" s="7"/>
    </row>
    <row r="12" spans="1:8" ht="15.75" customHeight="1">
      <c r="A12" s="8">
        <v>11</v>
      </c>
      <c r="B12" s="5"/>
      <c r="C12" s="5"/>
      <c r="D12" s="6" t="e">
        <f t="shared" si="0"/>
        <v>#DIV/0!</v>
      </c>
      <c r="E12" s="7"/>
      <c r="F12" s="7"/>
      <c r="G12" s="7"/>
      <c r="H12" s="7"/>
    </row>
    <row r="13" spans="1:8" ht="15.75" customHeight="1">
      <c r="A13" s="8">
        <v>12</v>
      </c>
      <c r="B13" s="5"/>
      <c r="C13" s="5"/>
      <c r="D13" s="6" t="e">
        <f t="shared" si="0"/>
        <v>#DIV/0!</v>
      </c>
      <c r="E13" s="7"/>
      <c r="F13" s="7"/>
      <c r="G13" s="7"/>
      <c r="H13" s="7"/>
    </row>
    <row r="14" spans="1:8" ht="15.75" customHeight="1">
      <c r="A14" s="8">
        <v>13</v>
      </c>
      <c r="B14" s="5"/>
      <c r="C14" s="5"/>
      <c r="D14" s="6" t="e">
        <f t="shared" si="0"/>
        <v>#DIV/0!</v>
      </c>
      <c r="E14" s="7"/>
      <c r="F14" s="7"/>
      <c r="G14" s="7"/>
      <c r="H14" s="7"/>
    </row>
    <row r="15" spans="1:8" ht="15.75" customHeight="1">
      <c r="A15" s="8">
        <v>14</v>
      </c>
      <c r="B15" s="5"/>
      <c r="C15" s="5"/>
      <c r="D15" s="6" t="e">
        <f t="shared" si="0"/>
        <v>#DIV/0!</v>
      </c>
      <c r="E15" s="7"/>
      <c r="F15" s="7"/>
      <c r="G15" s="7"/>
      <c r="H15" s="7"/>
    </row>
    <row r="16" spans="1:8" ht="15.75" customHeight="1">
      <c r="A16" s="8">
        <v>15</v>
      </c>
      <c r="B16" s="5"/>
      <c r="C16" s="5"/>
      <c r="D16" s="6" t="e">
        <f t="shared" si="0"/>
        <v>#DIV/0!</v>
      </c>
      <c r="E16" s="7"/>
      <c r="F16" s="7"/>
      <c r="G16" s="7"/>
      <c r="H16" s="7"/>
    </row>
    <row r="17" spans="1:8" ht="15.75" customHeight="1">
      <c r="A17" s="8">
        <v>16</v>
      </c>
      <c r="B17" s="5"/>
      <c r="C17" s="5"/>
      <c r="D17" s="6" t="e">
        <f t="shared" si="0"/>
        <v>#DIV/0!</v>
      </c>
      <c r="E17" s="7"/>
      <c r="F17" s="7"/>
      <c r="G17" s="7"/>
      <c r="H17" s="7"/>
    </row>
    <row r="18" spans="1:8" ht="15.75" customHeight="1">
      <c r="A18" s="8">
        <v>17</v>
      </c>
      <c r="B18" s="5"/>
      <c r="C18" s="5"/>
      <c r="D18" s="6" t="e">
        <f t="shared" si="0"/>
        <v>#DIV/0!</v>
      </c>
      <c r="E18" s="7"/>
      <c r="F18" s="7"/>
      <c r="G18" s="7"/>
      <c r="H18" s="7"/>
    </row>
    <row r="19" spans="1:8" ht="15.75" customHeight="1">
      <c r="A19" s="8">
        <v>18</v>
      </c>
      <c r="B19" s="5"/>
      <c r="C19" s="5"/>
      <c r="D19" s="6" t="e">
        <f t="shared" si="0"/>
        <v>#DIV/0!</v>
      </c>
      <c r="E19" s="7"/>
      <c r="F19" s="7"/>
      <c r="G19" s="7"/>
      <c r="H19" s="7"/>
    </row>
    <row r="20" spans="1:8" ht="15.75" customHeight="1">
      <c r="A20" s="8">
        <v>19</v>
      </c>
      <c r="B20" s="5"/>
      <c r="C20" s="5"/>
      <c r="D20" s="6" t="e">
        <f t="shared" si="0"/>
        <v>#DIV/0!</v>
      </c>
      <c r="E20" s="7"/>
      <c r="F20" s="7"/>
      <c r="G20" s="7"/>
      <c r="H20" s="7"/>
    </row>
    <row r="21" spans="1:8" ht="15.75" customHeight="1">
      <c r="A21" s="8">
        <v>20</v>
      </c>
      <c r="B21" s="5"/>
      <c r="C21" s="5"/>
      <c r="D21" s="6" t="e">
        <f t="shared" si="0"/>
        <v>#DIV/0!</v>
      </c>
      <c r="E21" s="7"/>
      <c r="F21" s="7"/>
      <c r="G21" s="7"/>
      <c r="H21" s="7"/>
    </row>
    <row r="22" spans="1:8" ht="15.75" customHeight="1">
      <c r="A22" s="8">
        <v>21</v>
      </c>
      <c r="B22" s="5"/>
      <c r="C22" s="5"/>
      <c r="D22" s="6" t="e">
        <f t="shared" si="0"/>
        <v>#DIV/0!</v>
      </c>
      <c r="E22" s="7"/>
      <c r="F22" s="7"/>
      <c r="G22" s="7"/>
      <c r="H22" s="7"/>
    </row>
    <row r="23" spans="1:8" ht="15.75" customHeight="1">
      <c r="A23" s="8">
        <v>22</v>
      </c>
      <c r="B23" s="5"/>
      <c r="C23" s="5"/>
      <c r="D23" s="6" t="e">
        <f t="shared" si="0"/>
        <v>#DIV/0!</v>
      </c>
      <c r="E23" s="7"/>
      <c r="F23" s="7"/>
      <c r="G23" s="7"/>
      <c r="H23" s="7"/>
    </row>
    <row r="24" spans="1:8" ht="15.75" customHeight="1">
      <c r="A24" s="8">
        <v>23</v>
      </c>
      <c r="B24" s="5"/>
      <c r="C24" s="5"/>
      <c r="D24" s="6" t="e">
        <f t="shared" si="0"/>
        <v>#DIV/0!</v>
      </c>
      <c r="E24" s="7"/>
      <c r="F24" s="7"/>
      <c r="G24" s="7"/>
      <c r="H24" s="7"/>
    </row>
    <row r="25" spans="1:8" ht="15.75" customHeight="1">
      <c r="A25" s="8">
        <v>24</v>
      </c>
      <c r="B25" s="5"/>
      <c r="C25" s="5"/>
      <c r="D25" s="6" t="e">
        <f t="shared" si="0"/>
        <v>#DIV/0!</v>
      </c>
      <c r="E25" s="7"/>
      <c r="F25" s="7"/>
      <c r="G25" s="7"/>
      <c r="H25" s="7"/>
    </row>
    <row r="26" spans="1:8" ht="15.75" customHeight="1">
      <c r="A26" s="8">
        <v>25</v>
      </c>
      <c r="B26" s="5"/>
      <c r="C26" s="5"/>
      <c r="D26" s="6" t="e">
        <f t="shared" si="0"/>
        <v>#DIV/0!</v>
      </c>
      <c r="E26" s="7"/>
      <c r="F26" s="7"/>
      <c r="G26" s="7"/>
      <c r="H26" s="7"/>
    </row>
    <row r="27" spans="1:8" ht="15.75" customHeight="1">
      <c r="A27" s="4" t="s">
        <v>10</v>
      </c>
      <c r="B27" s="5" t="e">
        <f t="shared" ref="B27:D27" si="1">AVERAGE(B2:B26)</f>
        <v>#DIV/0!</v>
      </c>
      <c r="C27" s="5" t="e">
        <f t="shared" si="1"/>
        <v>#DIV/0!</v>
      </c>
      <c r="D27" s="9" t="e">
        <f t="shared" si="1"/>
        <v>#DIV/0!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0</v>
      </c>
      <c r="C28" s="5">
        <f t="shared" si="2"/>
        <v>0</v>
      </c>
      <c r="D28" s="9" t="e">
        <f t="shared" si="2"/>
        <v>#DIV/0!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0</v>
      </c>
      <c r="C29" s="5">
        <f t="shared" si="3"/>
        <v>0</v>
      </c>
      <c r="D29" s="9" t="e">
        <f t="shared" si="3"/>
        <v>#DIV/0!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5"/>
      <c r="C33" s="5"/>
      <c r="D33" s="11"/>
      <c r="E33" s="5"/>
      <c r="F33" s="7"/>
      <c r="G33" s="7"/>
      <c r="H33" s="7"/>
    </row>
    <row r="34" spans="1:8" ht="15.75" customHeight="1">
      <c r="A34" s="4">
        <v>2</v>
      </c>
      <c r="B34" s="5"/>
      <c r="C34" s="5"/>
      <c r="D34" s="11"/>
      <c r="E34" s="5"/>
      <c r="F34" s="7"/>
      <c r="G34" s="7"/>
      <c r="H34" s="7"/>
    </row>
    <row r="35" spans="1:8" ht="15.75" customHeight="1">
      <c r="A35" s="4">
        <v>3</v>
      </c>
      <c r="B35" s="5"/>
      <c r="C35" s="5"/>
      <c r="D35" s="11"/>
      <c r="E35" s="7"/>
      <c r="F35" s="7"/>
      <c r="G35" s="7"/>
      <c r="H35" s="7"/>
    </row>
    <row r="36" spans="1:8" ht="15.75" customHeight="1">
      <c r="A36" s="4">
        <v>4</v>
      </c>
      <c r="B36" s="5"/>
      <c r="C36" s="5"/>
      <c r="D36" s="11"/>
      <c r="E36" s="5"/>
      <c r="F36" s="7"/>
      <c r="G36" s="7"/>
      <c r="H36" s="7"/>
    </row>
    <row r="37" spans="1:8" ht="15.75" customHeight="1">
      <c r="A37" s="4">
        <v>5</v>
      </c>
      <c r="B37" s="5"/>
      <c r="C37" s="5"/>
      <c r="D37" s="11"/>
      <c r="E37" s="5"/>
      <c r="F37" s="7"/>
      <c r="G37" s="7"/>
      <c r="H37" s="7"/>
    </row>
    <row r="38" spans="1:8" ht="15.75" customHeight="1">
      <c r="A38" s="4">
        <v>6</v>
      </c>
      <c r="B38" s="5"/>
      <c r="C38" s="5"/>
      <c r="D38" s="11"/>
      <c r="E38" s="5"/>
      <c r="F38" s="7"/>
      <c r="G38" s="7"/>
      <c r="H38" s="7"/>
    </row>
    <row r="39" spans="1:8" ht="15.75" customHeight="1">
      <c r="A39" s="4">
        <v>7</v>
      </c>
      <c r="B39" s="5"/>
      <c r="C39" s="5"/>
      <c r="D39" s="11"/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 t="e">
        <f t="shared" ref="B58:C58" si="4">AVERAGE(B33:B57)</f>
        <v>#DIV/0!</v>
      </c>
      <c r="C58" s="5" t="e">
        <f t="shared" si="4"/>
        <v>#DIV/0!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0</v>
      </c>
      <c r="C59" s="5">
        <f t="shared" si="5"/>
        <v>0</v>
      </c>
      <c r="D59" s="11">
        <f t="shared" si="5"/>
        <v>0</v>
      </c>
      <c r="E59" s="7"/>
      <c r="F59" s="7"/>
      <c r="G59" s="7"/>
      <c r="H59" s="7"/>
    </row>
    <row r="60" spans="1:8" ht="14">
      <c r="A60" s="4" t="s">
        <v>12</v>
      </c>
      <c r="B60" s="5" t="e">
        <f t="shared" ref="B60:D60" si="6">MAX(B34:B58)</f>
        <v>#DIV/0!</v>
      </c>
      <c r="C60" s="5" t="e">
        <f t="shared" si="6"/>
        <v>#DIV/0!</v>
      </c>
      <c r="D60" s="11">
        <f t="shared" si="6"/>
        <v>0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74"/>
  <sheetViews>
    <sheetView workbookViewId="0"/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16</v>
      </c>
      <c r="C2" s="17">
        <v>5</v>
      </c>
      <c r="D2" s="6">
        <f t="shared" ref="D2:D26" si="0">B2/C2</f>
        <v>3.2</v>
      </c>
      <c r="E2" s="14" t="s">
        <v>29</v>
      </c>
      <c r="F2" s="14" t="s">
        <v>30</v>
      </c>
      <c r="G2" s="7"/>
      <c r="H2" s="14" t="s">
        <v>31</v>
      </c>
    </row>
    <row r="3" spans="1:8" ht="15.75" customHeight="1">
      <c r="A3" s="4">
        <v>2</v>
      </c>
      <c r="B3" s="17">
        <v>14</v>
      </c>
      <c r="C3" s="17">
        <v>4.5</v>
      </c>
      <c r="D3" s="6">
        <f t="shared" si="0"/>
        <v>3.1111111111111112</v>
      </c>
      <c r="E3" s="7"/>
      <c r="F3" s="7"/>
      <c r="G3" s="7"/>
      <c r="H3" s="7"/>
    </row>
    <row r="4" spans="1:8" ht="15.75" customHeight="1">
      <c r="A4" s="4">
        <v>3</v>
      </c>
      <c r="B4" s="17">
        <v>13.5</v>
      </c>
      <c r="C4" s="17">
        <v>5</v>
      </c>
      <c r="D4" s="6">
        <f t="shared" si="0"/>
        <v>2.7</v>
      </c>
      <c r="E4" s="7"/>
      <c r="F4" s="7"/>
      <c r="G4" s="7"/>
      <c r="H4" s="7"/>
    </row>
    <row r="5" spans="1:8" ht="15.75" customHeight="1">
      <c r="A5" s="4">
        <v>4</v>
      </c>
      <c r="B5" s="17">
        <v>14</v>
      </c>
      <c r="C5" s="17">
        <v>4.5</v>
      </c>
      <c r="D5" s="6">
        <f t="shared" si="0"/>
        <v>3.1111111111111112</v>
      </c>
      <c r="E5" s="7"/>
      <c r="F5" s="7"/>
      <c r="G5" s="7"/>
      <c r="H5" s="7"/>
    </row>
    <row r="6" spans="1:8" ht="15.75" customHeight="1">
      <c r="A6" s="4">
        <v>5</v>
      </c>
      <c r="B6" s="17">
        <v>13</v>
      </c>
      <c r="C6" s="17">
        <v>5</v>
      </c>
      <c r="D6" s="6">
        <f t="shared" si="0"/>
        <v>2.6</v>
      </c>
      <c r="E6" s="7"/>
      <c r="F6" s="7"/>
      <c r="G6" s="7"/>
      <c r="H6" s="7"/>
    </row>
    <row r="7" spans="1:8" ht="15.75" customHeight="1">
      <c r="A7" s="4">
        <v>6</v>
      </c>
      <c r="B7" s="17">
        <v>15</v>
      </c>
      <c r="C7" s="17">
        <v>5</v>
      </c>
      <c r="D7" s="6">
        <f t="shared" si="0"/>
        <v>3</v>
      </c>
      <c r="E7" s="7"/>
      <c r="F7" s="7"/>
      <c r="G7" s="7"/>
      <c r="H7" s="7"/>
    </row>
    <row r="8" spans="1:8" ht="15.75" customHeight="1">
      <c r="A8" s="4">
        <v>7</v>
      </c>
      <c r="B8" s="17">
        <v>14</v>
      </c>
      <c r="C8" s="17">
        <v>4</v>
      </c>
      <c r="D8" s="6">
        <f t="shared" si="0"/>
        <v>3.5</v>
      </c>
      <c r="E8" s="7"/>
      <c r="F8" s="7"/>
      <c r="G8" s="7"/>
      <c r="H8" s="7"/>
    </row>
    <row r="9" spans="1:8" ht="15.75" customHeight="1">
      <c r="A9" s="4">
        <v>8</v>
      </c>
      <c r="B9" s="17">
        <v>12.5</v>
      </c>
      <c r="C9" s="17">
        <v>4.5</v>
      </c>
      <c r="D9" s="6">
        <f t="shared" si="0"/>
        <v>2.7777777777777777</v>
      </c>
      <c r="E9" s="7"/>
      <c r="F9" s="7"/>
      <c r="G9" s="7"/>
      <c r="H9" s="7"/>
    </row>
    <row r="10" spans="1:8" ht="15.75" customHeight="1">
      <c r="A10" s="4">
        <v>9</v>
      </c>
      <c r="B10" s="17">
        <v>13</v>
      </c>
      <c r="C10" s="17">
        <v>4.5</v>
      </c>
      <c r="D10" s="6">
        <f t="shared" si="0"/>
        <v>2.8888888888888888</v>
      </c>
      <c r="E10" s="7"/>
      <c r="F10" s="7"/>
      <c r="G10" s="7"/>
      <c r="H10" s="7"/>
    </row>
    <row r="11" spans="1:8" ht="15.75" customHeight="1">
      <c r="A11" s="4">
        <v>10</v>
      </c>
      <c r="B11" s="17">
        <v>14.5</v>
      </c>
      <c r="C11" s="17">
        <v>4.5</v>
      </c>
      <c r="D11" s="6">
        <f t="shared" si="0"/>
        <v>3.2222222222222223</v>
      </c>
      <c r="E11" s="7"/>
      <c r="F11" s="7"/>
      <c r="G11" s="7"/>
      <c r="H11" s="7"/>
    </row>
    <row r="12" spans="1:8" ht="15.75" customHeight="1">
      <c r="A12" s="8">
        <v>11</v>
      </c>
      <c r="B12" s="17">
        <v>11.5</v>
      </c>
      <c r="C12" s="17">
        <v>4.5</v>
      </c>
      <c r="D12" s="6">
        <f t="shared" si="0"/>
        <v>2.5555555555555554</v>
      </c>
      <c r="E12" s="7"/>
      <c r="F12" s="7"/>
      <c r="G12" s="7"/>
      <c r="H12" s="7"/>
    </row>
    <row r="13" spans="1:8" ht="15.75" customHeight="1">
      <c r="A13" s="8">
        <v>12</v>
      </c>
      <c r="B13" s="17">
        <v>13.5</v>
      </c>
      <c r="C13" s="17">
        <v>4.5</v>
      </c>
      <c r="D13" s="6">
        <f t="shared" si="0"/>
        <v>3</v>
      </c>
      <c r="E13" s="7"/>
      <c r="F13" s="7"/>
      <c r="G13" s="7"/>
      <c r="H13" s="7"/>
    </row>
    <row r="14" spans="1:8" ht="15.75" customHeight="1">
      <c r="A14" s="8">
        <v>13</v>
      </c>
      <c r="B14" s="17">
        <v>11.5</v>
      </c>
      <c r="C14" s="17">
        <v>4.5</v>
      </c>
      <c r="D14" s="6">
        <f t="shared" si="0"/>
        <v>2.5555555555555554</v>
      </c>
      <c r="E14" s="7"/>
      <c r="F14" s="7"/>
      <c r="G14" s="7"/>
      <c r="H14" s="7"/>
    </row>
    <row r="15" spans="1:8" ht="15.75" customHeight="1">
      <c r="A15" s="8">
        <v>14</v>
      </c>
      <c r="B15" s="17">
        <v>13.5</v>
      </c>
      <c r="C15" s="17">
        <v>5</v>
      </c>
      <c r="D15" s="6">
        <f t="shared" si="0"/>
        <v>2.7</v>
      </c>
      <c r="E15" s="7"/>
      <c r="F15" s="7"/>
      <c r="G15" s="7"/>
      <c r="H15" s="7"/>
    </row>
    <row r="16" spans="1:8" ht="15.75" customHeight="1">
      <c r="A16" s="8">
        <v>15</v>
      </c>
      <c r="B16" s="17">
        <v>14.5</v>
      </c>
      <c r="C16" s="17">
        <v>5</v>
      </c>
      <c r="D16" s="6">
        <f t="shared" si="0"/>
        <v>2.9</v>
      </c>
      <c r="E16" s="7"/>
      <c r="F16" s="7"/>
      <c r="G16" s="7"/>
      <c r="H16" s="7"/>
    </row>
    <row r="17" spans="1:9" ht="15.75" customHeight="1">
      <c r="A17" s="8">
        <v>16</v>
      </c>
      <c r="B17" s="17">
        <v>14</v>
      </c>
      <c r="C17" s="17">
        <v>5</v>
      </c>
      <c r="D17" s="6">
        <f t="shared" si="0"/>
        <v>2.8</v>
      </c>
      <c r="E17" s="7"/>
      <c r="F17" s="7"/>
      <c r="G17" s="7"/>
      <c r="H17" s="7"/>
    </row>
    <row r="18" spans="1:9" ht="15.75" customHeight="1">
      <c r="A18" s="8">
        <v>17</v>
      </c>
      <c r="B18" s="17">
        <v>12.5</v>
      </c>
      <c r="C18" s="17">
        <v>4.5</v>
      </c>
      <c r="D18" s="6">
        <f t="shared" si="0"/>
        <v>2.7777777777777777</v>
      </c>
      <c r="E18" s="7"/>
      <c r="F18" s="7"/>
      <c r="G18" s="7"/>
      <c r="H18" s="7"/>
    </row>
    <row r="19" spans="1:9" ht="15.75" customHeight="1">
      <c r="A19" s="8">
        <v>18</v>
      </c>
      <c r="B19" s="17">
        <v>13.5</v>
      </c>
      <c r="C19" s="17">
        <v>5</v>
      </c>
      <c r="D19" s="6">
        <f t="shared" si="0"/>
        <v>2.7</v>
      </c>
      <c r="E19" s="7"/>
      <c r="F19" s="7"/>
      <c r="G19" s="7"/>
      <c r="H19" s="7"/>
    </row>
    <row r="20" spans="1:9" ht="15.75" customHeight="1">
      <c r="A20" s="8">
        <v>19</v>
      </c>
      <c r="B20" s="17">
        <v>13.5</v>
      </c>
      <c r="C20" s="17">
        <v>5</v>
      </c>
      <c r="D20" s="6">
        <f t="shared" si="0"/>
        <v>2.7</v>
      </c>
      <c r="E20" s="7"/>
      <c r="F20" s="7"/>
      <c r="G20" s="7"/>
      <c r="H20" s="7"/>
    </row>
    <row r="21" spans="1:9" ht="15.75" customHeight="1">
      <c r="A21" s="8">
        <v>20</v>
      </c>
      <c r="B21" s="17">
        <v>14</v>
      </c>
      <c r="C21" s="17">
        <v>4</v>
      </c>
      <c r="D21" s="6">
        <f t="shared" si="0"/>
        <v>3.5</v>
      </c>
      <c r="E21" s="7"/>
      <c r="F21" s="7"/>
      <c r="G21" s="7"/>
      <c r="H21" s="7"/>
      <c r="I21" s="1" t="s">
        <v>32</v>
      </c>
    </row>
    <row r="22" spans="1:9" ht="15.75" customHeight="1">
      <c r="A22" s="8">
        <v>21</v>
      </c>
      <c r="B22" s="17">
        <v>14.5</v>
      </c>
      <c r="C22" s="17">
        <v>5</v>
      </c>
      <c r="D22" s="6">
        <f t="shared" si="0"/>
        <v>2.9</v>
      </c>
      <c r="E22" s="7"/>
      <c r="F22" s="7"/>
      <c r="G22" s="7"/>
      <c r="H22" s="7"/>
    </row>
    <row r="23" spans="1:9" ht="15.75" customHeight="1">
      <c r="A23" s="8">
        <v>22</v>
      </c>
      <c r="B23" s="17">
        <v>13</v>
      </c>
      <c r="C23" s="17">
        <v>4.5</v>
      </c>
      <c r="D23" s="6">
        <f t="shared" si="0"/>
        <v>2.8888888888888888</v>
      </c>
      <c r="E23" s="7"/>
      <c r="F23" s="7"/>
      <c r="G23" s="7"/>
      <c r="H23" s="7"/>
    </row>
    <row r="24" spans="1:9" ht="15.75" customHeight="1">
      <c r="A24" s="8">
        <v>23</v>
      </c>
      <c r="B24" s="17">
        <v>16</v>
      </c>
      <c r="C24" s="17">
        <v>4.5</v>
      </c>
      <c r="D24" s="6">
        <f t="shared" si="0"/>
        <v>3.5555555555555554</v>
      </c>
      <c r="E24" s="7"/>
      <c r="F24" s="7"/>
      <c r="G24" s="7"/>
      <c r="H24" s="7"/>
    </row>
    <row r="25" spans="1:9" ht="15.75" customHeight="1">
      <c r="A25" s="8">
        <v>24</v>
      </c>
      <c r="B25" s="17">
        <v>13</v>
      </c>
      <c r="C25" s="17">
        <v>4</v>
      </c>
      <c r="D25" s="6">
        <f t="shared" si="0"/>
        <v>3.25</v>
      </c>
      <c r="E25" s="7"/>
      <c r="F25" s="7"/>
      <c r="G25" s="7"/>
      <c r="H25" s="7"/>
    </row>
    <row r="26" spans="1:9" ht="15.75" customHeight="1">
      <c r="A26" s="8">
        <v>25</v>
      </c>
      <c r="B26" s="17">
        <v>13</v>
      </c>
      <c r="C26" s="17">
        <v>5</v>
      </c>
      <c r="D26" s="6">
        <f t="shared" si="0"/>
        <v>2.6</v>
      </c>
      <c r="E26" s="7"/>
      <c r="F26" s="7"/>
      <c r="G26" s="7"/>
      <c r="H26" s="7"/>
      <c r="I26" s="1" t="s">
        <v>33</v>
      </c>
    </row>
    <row r="27" spans="1:9" ht="15.75" customHeight="1">
      <c r="A27" s="4" t="s">
        <v>10</v>
      </c>
      <c r="B27" s="5">
        <f t="shared" ref="B27:D27" si="1">AVERAGE(B2:B26)</f>
        <v>13.64</v>
      </c>
      <c r="C27" s="5">
        <f t="shared" si="1"/>
        <v>4.66</v>
      </c>
      <c r="D27" s="9">
        <f t="shared" si="1"/>
        <v>2.9397777777777776</v>
      </c>
      <c r="E27" s="7"/>
      <c r="F27" s="7"/>
      <c r="G27" s="7"/>
      <c r="H27" s="7"/>
    </row>
    <row r="28" spans="1:9" ht="15.75" customHeight="1">
      <c r="A28" s="4" t="s">
        <v>11</v>
      </c>
      <c r="B28" s="5">
        <f t="shared" ref="B28:D28" si="2">MIN(B3:B26)</f>
        <v>11.5</v>
      </c>
      <c r="C28" s="5">
        <f t="shared" si="2"/>
        <v>4</v>
      </c>
      <c r="D28" s="9">
        <f t="shared" si="2"/>
        <v>2.5555555555555554</v>
      </c>
      <c r="E28" s="7"/>
      <c r="F28" s="7"/>
      <c r="G28" s="7"/>
      <c r="H28" s="7"/>
    </row>
    <row r="29" spans="1:9" ht="15.75" customHeight="1">
      <c r="A29" s="4" t="s">
        <v>12</v>
      </c>
      <c r="B29" s="5">
        <f t="shared" ref="B29:D29" si="3">MAX(B4:B26)</f>
        <v>16</v>
      </c>
      <c r="C29" s="5">
        <f t="shared" si="3"/>
        <v>5</v>
      </c>
      <c r="D29" s="9">
        <f t="shared" si="3"/>
        <v>3.5555555555555554</v>
      </c>
      <c r="E29" s="7"/>
      <c r="F29" s="7"/>
      <c r="G29" s="7"/>
      <c r="H29" s="7"/>
    </row>
    <row r="30" spans="1:9" ht="15.75" customHeight="1">
      <c r="A30" s="2"/>
      <c r="B30" s="7"/>
      <c r="C30" s="7"/>
      <c r="D30" s="10"/>
      <c r="E30" s="7"/>
      <c r="F30" s="7"/>
      <c r="G30" s="7"/>
      <c r="H30" s="7"/>
    </row>
    <row r="31" spans="1:9" ht="15.75" customHeight="1">
      <c r="A31" s="2"/>
      <c r="B31" s="7"/>
      <c r="C31" s="7"/>
      <c r="D31" s="10"/>
      <c r="E31" s="7"/>
      <c r="F31" s="7"/>
      <c r="G31" s="7"/>
      <c r="H31" s="7"/>
    </row>
    <row r="32" spans="1:9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5"/>
      <c r="C33" s="5"/>
      <c r="D33" s="13">
        <v>4</v>
      </c>
      <c r="E33" s="5"/>
      <c r="F33" s="7"/>
      <c r="G33" s="7"/>
      <c r="H33" s="7"/>
    </row>
    <row r="34" spans="1:8" ht="15.75" customHeight="1">
      <c r="A34" s="4">
        <v>2</v>
      </c>
      <c r="B34" s="17">
        <v>51.5</v>
      </c>
      <c r="C34" s="17">
        <v>9.5</v>
      </c>
      <c r="D34" s="13">
        <v>2</v>
      </c>
      <c r="E34" s="17">
        <v>6</v>
      </c>
      <c r="F34" s="7"/>
      <c r="G34" s="7"/>
      <c r="H34" s="7"/>
    </row>
    <row r="35" spans="1:8" ht="15.75" customHeight="1">
      <c r="A35" s="4">
        <v>3</v>
      </c>
      <c r="B35" s="5"/>
      <c r="C35" s="5"/>
      <c r="D35" s="13">
        <v>4</v>
      </c>
      <c r="E35" s="14" t="s">
        <v>34</v>
      </c>
      <c r="F35" s="7"/>
      <c r="G35" s="7"/>
      <c r="H35" s="7"/>
    </row>
    <row r="36" spans="1:8" ht="15.75" customHeight="1">
      <c r="A36" s="4">
        <v>4</v>
      </c>
      <c r="B36" s="17">
        <v>37.5</v>
      </c>
      <c r="C36" s="17">
        <v>8.5</v>
      </c>
      <c r="D36" s="13">
        <v>4</v>
      </c>
      <c r="E36" s="17">
        <v>8.5</v>
      </c>
      <c r="F36" s="7"/>
      <c r="G36" s="7"/>
      <c r="H36" s="7"/>
    </row>
    <row r="37" spans="1:8" ht="15.75" customHeight="1">
      <c r="A37" s="4">
        <v>5</v>
      </c>
      <c r="B37" s="17">
        <v>39</v>
      </c>
      <c r="C37" s="17">
        <v>8.5</v>
      </c>
      <c r="D37" s="13">
        <v>4</v>
      </c>
      <c r="E37" s="17">
        <v>5</v>
      </c>
      <c r="F37" s="7"/>
      <c r="G37" s="7"/>
      <c r="H37" s="7"/>
    </row>
    <row r="38" spans="1:8" ht="15.75" customHeight="1">
      <c r="A38" s="4">
        <v>6</v>
      </c>
      <c r="B38" s="17">
        <v>52</v>
      </c>
      <c r="C38" s="17">
        <v>8.5</v>
      </c>
      <c r="D38" s="13">
        <v>2</v>
      </c>
      <c r="E38" s="5"/>
      <c r="F38" s="7"/>
      <c r="G38" s="7"/>
      <c r="H38" s="7"/>
    </row>
    <row r="39" spans="1:8" ht="15.75" customHeight="1">
      <c r="A39" s="4">
        <v>7</v>
      </c>
      <c r="B39" s="5"/>
      <c r="C39" s="5"/>
      <c r="D39" s="13">
        <v>2</v>
      </c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45</v>
      </c>
      <c r="C58" s="5">
        <f t="shared" si="4"/>
        <v>8.75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37.5</v>
      </c>
      <c r="C59" s="5">
        <f t="shared" si="5"/>
        <v>8.5</v>
      </c>
      <c r="D59" s="11">
        <f t="shared" si="5"/>
        <v>2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52</v>
      </c>
      <c r="C60" s="5">
        <f t="shared" si="6"/>
        <v>9.5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</sheetData>
  <mergeCells count="1">
    <mergeCell ref="D62:E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006"/>
  <sheetViews>
    <sheetView workbookViewId="0"/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11.5</v>
      </c>
      <c r="C2" s="17">
        <v>7.5</v>
      </c>
      <c r="D2" s="6">
        <f t="shared" ref="D2:D26" si="0">B2/C2</f>
        <v>1.5333333333333334</v>
      </c>
      <c r="E2" s="14" t="s">
        <v>29</v>
      </c>
      <c r="F2" s="14" t="s">
        <v>30</v>
      </c>
      <c r="G2" s="14" t="s">
        <v>35</v>
      </c>
      <c r="H2" s="7"/>
      <c r="I2" s="1" t="s">
        <v>36</v>
      </c>
    </row>
    <row r="3" spans="1:9" ht="15.75" customHeight="1">
      <c r="A3" s="4">
        <v>2</v>
      </c>
      <c r="B3" s="17">
        <v>10</v>
      </c>
      <c r="C3" s="17">
        <v>6.5</v>
      </c>
      <c r="D3" s="6">
        <f t="shared" si="0"/>
        <v>1.5384615384615385</v>
      </c>
      <c r="E3" s="7"/>
      <c r="F3" s="7"/>
      <c r="G3" s="7"/>
      <c r="H3" s="7"/>
    </row>
    <row r="4" spans="1:9" ht="15.75" customHeight="1">
      <c r="A4" s="4">
        <v>3</v>
      </c>
      <c r="B4" s="17">
        <v>11</v>
      </c>
      <c r="C4" s="17">
        <v>7.5</v>
      </c>
      <c r="D4" s="6">
        <f t="shared" si="0"/>
        <v>1.4666666666666666</v>
      </c>
      <c r="E4" s="7"/>
      <c r="F4" s="7"/>
      <c r="G4" s="7"/>
      <c r="H4" s="7"/>
    </row>
    <row r="5" spans="1:9" ht="15.75" customHeight="1">
      <c r="A5" s="4">
        <v>4</v>
      </c>
      <c r="B5" s="17">
        <v>10</v>
      </c>
      <c r="C5" s="17">
        <v>7</v>
      </c>
      <c r="D5" s="6">
        <f t="shared" si="0"/>
        <v>1.4285714285714286</v>
      </c>
      <c r="E5" s="7"/>
      <c r="F5" s="7"/>
      <c r="G5" s="7"/>
      <c r="H5" s="7"/>
    </row>
    <row r="6" spans="1:9" ht="15.75" customHeight="1">
      <c r="A6" s="4">
        <v>5</v>
      </c>
      <c r="B6" s="17">
        <v>11.5</v>
      </c>
      <c r="C6" s="17">
        <v>8</v>
      </c>
      <c r="D6" s="6">
        <f t="shared" si="0"/>
        <v>1.4375</v>
      </c>
      <c r="E6" s="7"/>
      <c r="F6" s="7"/>
      <c r="G6" s="7"/>
      <c r="H6" s="7"/>
    </row>
    <row r="7" spans="1:9" ht="15.75" customHeight="1">
      <c r="A7" s="4">
        <v>6</v>
      </c>
      <c r="B7" s="17">
        <v>12</v>
      </c>
      <c r="C7" s="17">
        <v>8.5</v>
      </c>
      <c r="D7" s="6">
        <f t="shared" si="0"/>
        <v>1.411764705882353</v>
      </c>
      <c r="E7" s="7"/>
      <c r="F7" s="7"/>
      <c r="G7" s="7"/>
      <c r="H7" s="7"/>
    </row>
    <row r="8" spans="1:9" ht="15.75" customHeight="1">
      <c r="A8" s="4">
        <v>7</v>
      </c>
      <c r="B8" s="17">
        <v>10</v>
      </c>
      <c r="C8" s="17">
        <v>7.5</v>
      </c>
      <c r="D8" s="6">
        <f t="shared" si="0"/>
        <v>1.3333333333333333</v>
      </c>
      <c r="E8" s="7"/>
      <c r="F8" s="7"/>
      <c r="G8" s="7"/>
      <c r="H8" s="7"/>
    </row>
    <row r="9" spans="1:9" ht="15.75" customHeight="1">
      <c r="A9" s="4">
        <v>8</v>
      </c>
      <c r="B9" s="17">
        <v>10.5</v>
      </c>
      <c r="C9" s="17">
        <v>7</v>
      </c>
      <c r="D9" s="6">
        <f t="shared" si="0"/>
        <v>1.5</v>
      </c>
      <c r="E9" s="7"/>
      <c r="F9" s="7"/>
      <c r="G9" s="7"/>
      <c r="H9" s="7"/>
    </row>
    <row r="10" spans="1:9" ht="15.75" customHeight="1">
      <c r="A10" s="4">
        <v>9</v>
      </c>
      <c r="B10" s="17">
        <v>9.5</v>
      </c>
      <c r="C10" s="17">
        <v>6.5</v>
      </c>
      <c r="D10" s="6">
        <f t="shared" si="0"/>
        <v>1.4615384615384615</v>
      </c>
      <c r="E10" s="7"/>
      <c r="F10" s="7"/>
      <c r="G10" s="7"/>
      <c r="H10" s="7"/>
    </row>
    <row r="11" spans="1:9" ht="15.75" customHeight="1">
      <c r="A11" s="4">
        <v>10</v>
      </c>
      <c r="B11" s="17">
        <v>10.5</v>
      </c>
      <c r="C11" s="17">
        <v>7.5</v>
      </c>
      <c r="D11" s="6">
        <f t="shared" si="0"/>
        <v>1.4</v>
      </c>
      <c r="E11" s="7"/>
      <c r="F11" s="7"/>
      <c r="G11" s="7"/>
      <c r="H11" s="7"/>
    </row>
    <row r="12" spans="1:9" ht="15.75" customHeight="1">
      <c r="A12" s="8">
        <v>11</v>
      </c>
      <c r="B12" s="17">
        <v>10</v>
      </c>
      <c r="C12" s="17">
        <v>7.5</v>
      </c>
      <c r="D12" s="6">
        <f t="shared" si="0"/>
        <v>1.3333333333333333</v>
      </c>
      <c r="E12" s="7"/>
      <c r="F12" s="7"/>
      <c r="G12" s="7"/>
      <c r="H12" s="7"/>
    </row>
    <row r="13" spans="1:9" ht="15.75" customHeight="1">
      <c r="A13" s="8">
        <v>12</v>
      </c>
      <c r="B13" s="17">
        <v>9.5</v>
      </c>
      <c r="C13" s="17">
        <v>7</v>
      </c>
      <c r="D13" s="6">
        <f t="shared" si="0"/>
        <v>1.3571428571428572</v>
      </c>
      <c r="E13" s="7"/>
      <c r="F13" s="7"/>
      <c r="G13" s="7"/>
      <c r="H13" s="7"/>
    </row>
    <row r="14" spans="1:9" ht="15.75" customHeight="1">
      <c r="A14" s="8">
        <v>13</v>
      </c>
      <c r="B14" s="17">
        <v>10.5</v>
      </c>
      <c r="C14" s="17">
        <v>6.5</v>
      </c>
      <c r="D14" s="6">
        <f t="shared" si="0"/>
        <v>1.6153846153846154</v>
      </c>
      <c r="E14" s="7"/>
      <c r="F14" s="7"/>
      <c r="G14" s="7"/>
      <c r="H14" s="7"/>
    </row>
    <row r="15" spans="1:9" ht="15.75" customHeight="1">
      <c r="A15" s="8">
        <v>14</v>
      </c>
      <c r="B15" s="17">
        <v>10.5</v>
      </c>
      <c r="C15" s="17">
        <v>6.5</v>
      </c>
      <c r="D15" s="6">
        <f t="shared" si="0"/>
        <v>1.6153846153846154</v>
      </c>
      <c r="E15" s="7"/>
      <c r="F15" s="7"/>
      <c r="G15" s="7"/>
      <c r="H15" s="7"/>
    </row>
    <row r="16" spans="1:9" ht="15.75" customHeight="1">
      <c r="A16" s="8">
        <v>15</v>
      </c>
      <c r="B16" s="17">
        <v>10.5</v>
      </c>
      <c r="C16" s="17">
        <v>7</v>
      </c>
      <c r="D16" s="6">
        <f t="shared" si="0"/>
        <v>1.5</v>
      </c>
      <c r="E16" s="7"/>
      <c r="F16" s="7"/>
      <c r="G16" s="7"/>
      <c r="H16" s="7"/>
    </row>
    <row r="17" spans="1:8" ht="15.75" customHeight="1">
      <c r="A17" s="8">
        <v>16</v>
      </c>
      <c r="B17" s="17">
        <v>11</v>
      </c>
      <c r="C17" s="17">
        <v>7</v>
      </c>
      <c r="D17" s="6">
        <f t="shared" si="0"/>
        <v>1.5714285714285714</v>
      </c>
      <c r="E17" s="7"/>
      <c r="F17" s="7"/>
      <c r="G17" s="7"/>
      <c r="H17" s="7"/>
    </row>
    <row r="18" spans="1:8" ht="15.75" customHeight="1">
      <c r="A18" s="8">
        <v>17</v>
      </c>
      <c r="B18" s="17">
        <v>10.5</v>
      </c>
      <c r="C18" s="17">
        <v>7</v>
      </c>
      <c r="D18" s="6">
        <f t="shared" si="0"/>
        <v>1.5</v>
      </c>
      <c r="E18" s="7"/>
      <c r="F18" s="7"/>
      <c r="G18" s="7"/>
      <c r="H18" s="7"/>
    </row>
    <row r="19" spans="1:8" ht="15.75" customHeight="1">
      <c r="A19" s="8">
        <v>18</v>
      </c>
      <c r="B19" s="17">
        <v>11</v>
      </c>
      <c r="C19" s="17">
        <v>7.5</v>
      </c>
      <c r="D19" s="6">
        <f t="shared" si="0"/>
        <v>1.4666666666666666</v>
      </c>
      <c r="E19" s="7"/>
      <c r="F19" s="7"/>
      <c r="G19" s="7"/>
      <c r="H19" s="7"/>
    </row>
    <row r="20" spans="1:8" ht="15.75" customHeight="1">
      <c r="A20" s="8">
        <v>19</v>
      </c>
      <c r="B20" s="17">
        <v>9.5</v>
      </c>
      <c r="C20" s="17">
        <v>7.5</v>
      </c>
      <c r="D20" s="6">
        <f t="shared" si="0"/>
        <v>1.2666666666666666</v>
      </c>
      <c r="E20" s="7"/>
      <c r="F20" s="7"/>
      <c r="G20" s="7"/>
      <c r="H20" s="7"/>
    </row>
    <row r="21" spans="1:8" ht="15.75" customHeight="1">
      <c r="A21" s="8">
        <v>20</v>
      </c>
      <c r="B21" s="17">
        <v>10</v>
      </c>
      <c r="C21" s="17">
        <v>7.5</v>
      </c>
      <c r="D21" s="6">
        <f t="shared" si="0"/>
        <v>1.3333333333333333</v>
      </c>
      <c r="E21" s="7"/>
      <c r="F21" s="7"/>
      <c r="G21" s="7"/>
      <c r="H21" s="7"/>
    </row>
    <row r="22" spans="1:8" ht="15.75" customHeight="1">
      <c r="A22" s="8">
        <v>21</v>
      </c>
      <c r="B22" s="17">
        <v>10.5</v>
      </c>
      <c r="C22" s="17">
        <v>8</v>
      </c>
      <c r="D22" s="6">
        <f t="shared" si="0"/>
        <v>1.3125</v>
      </c>
      <c r="E22" s="7"/>
      <c r="F22" s="7"/>
      <c r="G22" s="7"/>
      <c r="H22" s="7"/>
    </row>
    <row r="23" spans="1:8" ht="15.75" customHeight="1">
      <c r="A23" s="8">
        <v>22</v>
      </c>
      <c r="B23" s="17">
        <v>11</v>
      </c>
      <c r="C23" s="17">
        <v>7.5</v>
      </c>
      <c r="D23" s="6">
        <f t="shared" si="0"/>
        <v>1.4666666666666666</v>
      </c>
      <c r="E23" s="7"/>
      <c r="F23" s="7"/>
      <c r="G23" s="7"/>
      <c r="H23" s="7"/>
    </row>
    <row r="24" spans="1:8" ht="15.75" customHeight="1">
      <c r="A24" s="8">
        <v>23</v>
      </c>
      <c r="B24" s="17">
        <v>11</v>
      </c>
      <c r="C24" s="17">
        <v>7.5</v>
      </c>
      <c r="D24" s="6">
        <f t="shared" si="0"/>
        <v>1.4666666666666666</v>
      </c>
      <c r="E24" s="7"/>
      <c r="F24" s="7"/>
      <c r="G24" s="7"/>
      <c r="H24" s="7"/>
    </row>
    <row r="25" spans="1:8" ht="15.75" customHeight="1">
      <c r="A25" s="8">
        <v>24</v>
      </c>
      <c r="B25" s="17">
        <v>11</v>
      </c>
      <c r="C25" s="17">
        <v>7.5</v>
      </c>
      <c r="D25" s="6">
        <f t="shared" si="0"/>
        <v>1.4666666666666666</v>
      </c>
      <c r="E25" s="7"/>
      <c r="F25" s="7"/>
      <c r="G25" s="7"/>
      <c r="H25" s="7"/>
    </row>
    <row r="26" spans="1:8" ht="15.75" customHeight="1">
      <c r="A26" s="8">
        <v>25</v>
      </c>
      <c r="B26" s="17">
        <v>11</v>
      </c>
      <c r="C26" s="17">
        <v>7.5</v>
      </c>
      <c r="D26" s="6">
        <f t="shared" si="0"/>
        <v>1.4666666666666666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10.56</v>
      </c>
      <c r="C27" s="5">
        <f t="shared" si="1"/>
        <v>7.3</v>
      </c>
      <c r="D27" s="9">
        <f t="shared" si="1"/>
        <v>1.4499870717517778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9.5</v>
      </c>
      <c r="C28" s="5">
        <f t="shared" si="2"/>
        <v>6.5</v>
      </c>
      <c r="D28" s="9">
        <f t="shared" si="2"/>
        <v>1.2666666666666666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12</v>
      </c>
      <c r="C29" s="5">
        <f t="shared" si="3"/>
        <v>8.5</v>
      </c>
      <c r="D29" s="9">
        <f t="shared" si="3"/>
        <v>1.6153846153846154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34.5</v>
      </c>
      <c r="C33" s="17">
        <v>10</v>
      </c>
      <c r="D33" s="13">
        <v>2</v>
      </c>
      <c r="E33" s="17">
        <v>4</v>
      </c>
      <c r="F33" s="14"/>
      <c r="G33" s="14" t="s">
        <v>37</v>
      </c>
      <c r="H33" s="7"/>
    </row>
    <row r="34" spans="1:8" ht="15.75" customHeight="1">
      <c r="A34" s="4">
        <v>2</v>
      </c>
      <c r="B34" s="5"/>
      <c r="C34" s="5"/>
      <c r="D34" s="13">
        <v>2</v>
      </c>
      <c r="E34" s="5"/>
      <c r="F34" s="7"/>
      <c r="G34" s="7"/>
      <c r="H34" s="7"/>
    </row>
    <row r="35" spans="1:8" ht="15.75" customHeight="1">
      <c r="A35" s="4">
        <v>3</v>
      </c>
      <c r="B35" s="17">
        <v>39.5</v>
      </c>
      <c r="C35" s="17">
        <v>27.5</v>
      </c>
      <c r="D35" s="13">
        <v>4</v>
      </c>
      <c r="E35" s="14">
        <v>8</v>
      </c>
      <c r="F35" s="7"/>
      <c r="G35" s="14" t="s">
        <v>38</v>
      </c>
      <c r="H35" s="7"/>
    </row>
    <row r="36" spans="1:8" ht="15.75" customHeight="1">
      <c r="A36" s="4">
        <v>4</v>
      </c>
      <c r="B36" s="5"/>
      <c r="C36" s="5"/>
      <c r="D36" s="13">
        <v>2</v>
      </c>
      <c r="E36" s="5"/>
      <c r="F36" s="7"/>
      <c r="G36" s="7"/>
      <c r="H36" s="7"/>
    </row>
    <row r="37" spans="1:8" ht="15.75" customHeight="1">
      <c r="A37" s="4">
        <v>5</v>
      </c>
      <c r="B37" s="5"/>
      <c r="C37" s="5"/>
      <c r="D37" s="13">
        <v>4</v>
      </c>
      <c r="E37" s="5"/>
      <c r="F37" s="7"/>
      <c r="G37" s="7"/>
      <c r="H37" s="7"/>
    </row>
    <row r="38" spans="1:8" ht="15.75" customHeight="1">
      <c r="A38" s="4">
        <v>6</v>
      </c>
      <c r="B38" s="5"/>
      <c r="C38" s="5"/>
      <c r="D38" s="13">
        <v>4</v>
      </c>
      <c r="E38" s="5"/>
      <c r="F38" s="7"/>
      <c r="G38" s="7"/>
      <c r="H38" s="7"/>
    </row>
    <row r="39" spans="1:8" ht="15.75" customHeight="1">
      <c r="A39" s="4">
        <v>7</v>
      </c>
      <c r="B39" s="17">
        <v>42</v>
      </c>
      <c r="C39" s="17">
        <v>24</v>
      </c>
      <c r="D39" s="13">
        <v>2</v>
      </c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3">
        <v>4</v>
      </c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3">
        <v>2</v>
      </c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3">
        <v>2</v>
      </c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3">
        <v>4</v>
      </c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38.666666666666664</v>
      </c>
      <c r="C58" s="5">
        <f t="shared" si="4"/>
        <v>20.5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34.5</v>
      </c>
      <c r="C59" s="5">
        <f t="shared" si="5"/>
        <v>10</v>
      </c>
      <c r="D59" s="11">
        <f t="shared" si="5"/>
        <v>2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42</v>
      </c>
      <c r="C60" s="5">
        <f t="shared" si="6"/>
        <v>27.5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39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006"/>
  <sheetViews>
    <sheetView workbookViewId="0"/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5"/>
      <c r="C2" s="5"/>
      <c r="D2" s="6" t="e">
        <f t="shared" ref="D2:D26" si="0">B2/C2</f>
        <v>#DIV/0!</v>
      </c>
      <c r="E2" s="7"/>
      <c r="F2" s="7"/>
      <c r="G2" s="7"/>
      <c r="H2" s="7"/>
    </row>
    <row r="3" spans="1:8" ht="15.75" customHeight="1">
      <c r="A3" s="4">
        <v>2</v>
      </c>
      <c r="B3" s="5"/>
      <c r="C3" s="5"/>
      <c r="D3" s="6" t="e">
        <f t="shared" si="0"/>
        <v>#DIV/0!</v>
      </c>
      <c r="E3" s="7"/>
      <c r="F3" s="7"/>
      <c r="G3" s="7"/>
      <c r="H3" s="7"/>
    </row>
    <row r="4" spans="1:8" ht="15.75" customHeight="1">
      <c r="A4" s="4">
        <v>3</v>
      </c>
      <c r="B4" s="5"/>
      <c r="C4" s="5"/>
      <c r="D4" s="6" t="e">
        <f t="shared" si="0"/>
        <v>#DIV/0!</v>
      </c>
      <c r="E4" s="7"/>
      <c r="F4" s="7"/>
      <c r="G4" s="7"/>
      <c r="H4" s="7"/>
    </row>
    <row r="5" spans="1:8" ht="15.75" customHeight="1">
      <c r="A5" s="4">
        <v>4</v>
      </c>
      <c r="B5" s="5"/>
      <c r="C5" s="5"/>
      <c r="D5" s="6" t="e">
        <f t="shared" si="0"/>
        <v>#DIV/0!</v>
      </c>
      <c r="E5" s="7"/>
      <c r="F5" s="7"/>
      <c r="G5" s="7"/>
      <c r="H5" s="7"/>
    </row>
    <row r="6" spans="1:8" ht="15.75" customHeight="1">
      <c r="A6" s="4">
        <v>5</v>
      </c>
      <c r="B6" s="5"/>
      <c r="C6" s="5"/>
      <c r="D6" s="6" t="e">
        <f t="shared" si="0"/>
        <v>#DIV/0!</v>
      </c>
      <c r="E6" s="7"/>
      <c r="F6" s="7"/>
      <c r="G6" s="7"/>
      <c r="H6" s="7"/>
    </row>
    <row r="7" spans="1:8" ht="15.75" customHeight="1">
      <c r="A7" s="4">
        <v>6</v>
      </c>
      <c r="B7" s="5"/>
      <c r="C7" s="5"/>
      <c r="D7" s="6" t="e">
        <f t="shared" si="0"/>
        <v>#DIV/0!</v>
      </c>
      <c r="E7" s="7"/>
      <c r="F7" s="7"/>
      <c r="G7" s="7"/>
      <c r="H7" s="7"/>
    </row>
    <row r="8" spans="1:8" ht="15.75" customHeight="1">
      <c r="A8" s="4">
        <v>7</v>
      </c>
      <c r="B8" s="5"/>
      <c r="C8" s="5"/>
      <c r="D8" s="6" t="e">
        <f t="shared" si="0"/>
        <v>#DIV/0!</v>
      </c>
      <c r="E8" s="7"/>
      <c r="F8" s="7"/>
      <c r="G8" s="7"/>
      <c r="H8" s="7"/>
    </row>
    <row r="9" spans="1:8" ht="15.75" customHeight="1">
      <c r="A9" s="4">
        <v>8</v>
      </c>
      <c r="B9" s="5"/>
      <c r="C9" s="5"/>
      <c r="D9" s="6" t="e">
        <f t="shared" si="0"/>
        <v>#DIV/0!</v>
      </c>
      <c r="E9" s="7"/>
      <c r="F9" s="7"/>
      <c r="G9" s="7"/>
      <c r="H9" s="7"/>
    </row>
    <row r="10" spans="1:8" ht="15.75" customHeight="1">
      <c r="A10" s="4">
        <v>9</v>
      </c>
      <c r="B10" s="5"/>
      <c r="C10" s="5"/>
      <c r="D10" s="6" t="e">
        <f t="shared" si="0"/>
        <v>#DIV/0!</v>
      </c>
      <c r="E10" s="7"/>
      <c r="F10" s="7"/>
      <c r="G10" s="7"/>
      <c r="H10" s="7"/>
    </row>
    <row r="11" spans="1:8" ht="15.75" customHeight="1">
      <c r="A11" s="4">
        <v>10</v>
      </c>
      <c r="B11" s="5"/>
      <c r="C11" s="5"/>
      <c r="D11" s="6" t="e">
        <f t="shared" si="0"/>
        <v>#DIV/0!</v>
      </c>
      <c r="E11" s="7"/>
      <c r="F11" s="7"/>
      <c r="G11" s="7"/>
      <c r="H11" s="7"/>
    </row>
    <row r="12" spans="1:8" ht="15.75" customHeight="1">
      <c r="A12" s="8">
        <v>11</v>
      </c>
      <c r="B12" s="5"/>
      <c r="C12" s="5"/>
      <c r="D12" s="6" t="e">
        <f t="shared" si="0"/>
        <v>#DIV/0!</v>
      </c>
      <c r="E12" s="7"/>
      <c r="F12" s="7"/>
      <c r="G12" s="7"/>
      <c r="H12" s="7"/>
    </row>
    <row r="13" spans="1:8" ht="15.75" customHeight="1">
      <c r="A13" s="8">
        <v>12</v>
      </c>
      <c r="B13" s="5"/>
      <c r="C13" s="5"/>
      <c r="D13" s="6" t="e">
        <f t="shared" si="0"/>
        <v>#DIV/0!</v>
      </c>
      <c r="E13" s="7"/>
      <c r="F13" s="7"/>
      <c r="G13" s="7"/>
      <c r="H13" s="7"/>
    </row>
    <row r="14" spans="1:8" ht="15.75" customHeight="1">
      <c r="A14" s="8">
        <v>13</v>
      </c>
      <c r="B14" s="5"/>
      <c r="C14" s="5"/>
      <c r="D14" s="6" t="e">
        <f t="shared" si="0"/>
        <v>#DIV/0!</v>
      </c>
      <c r="E14" s="7"/>
      <c r="F14" s="7"/>
      <c r="G14" s="7"/>
      <c r="H14" s="7"/>
    </row>
    <row r="15" spans="1:8" ht="15.75" customHeight="1">
      <c r="A15" s="8">
        <v>14</v>
      </c>
      <c r="B15" s="5"/>
      <c r="C15" s="5"/>
      <c r="D15" s="6" t="e">
        <f t="shared" si="0"/>
        <v>#DIV/0!</v>
      </c>
      <c r="E15" s="7"/>
      <c r="F15" s="7"/>
      <c r="G15" s="7"/>
      <c r="H15" s="7"/>
    </row>
    <row r="16" spans="1:8" ht="15.75" customHeight="1">
      <c r="A16" s="8">
        <v>15</v>
      </c>
      <c r="B16" s="5"/>
      <c r="C16" s="5"/>
      <c r="D16" s="6" t="e">
        <f t="shared" si="0"/>
        <v>#DIV/0!</v>
      </c>
      <c r="E16" s="7"/>
      <c r="F16" s="7"/>
      <c r="G16" s="7"/>
      <c r="H16" s="7"/>
    </row>
    <row r="17" spans="1:8" ht="15.75" customHeight="1">
      <c r="A17" s="8">
        <v>16</v>
      </c>
      <c r="B17" s="5"/>
      <c r="C17" s="5"/>
      <c r="D17" s="6" t="e">
        <f t="shared" si="0"/>
        <v>#DIV/0!</v>
      </c>
      <c r="E17" s="7"/>
      <c r="F17" s="7"/>
      <c r="G17" s="7"/>
      <c r="H17" s="7"/>
    </row>
    <row r="18" spans="1:8" ht="15.75" customHeight="1">
      <c r="A18" s="8">
        <v>17</v>
      </c>
      <c r="B18" s="5"/>
      <c r="C18" s="5"/>
      <c r="D18" s="6" t="e">
        <f t="shared" si="0"/>
        <v>#DIV/0!</v>
      </c>
      <c r="E18" s="7"/>
      <c r="F18" s="7"/>
      <c r="G18" s="7"/>
      <c r="H18" s="7"/>
    </row>
    <row r="19" spans="1:8" ht="15.75" customHeight="1">
      <c r="A19" s="8">
        <v>18</v>
      </c>
      <c r="B19" s="5"/>
      <c r="C19" s="5"/>
      <c r="D19" s="6" t="e">
        <f t="shared" si="0"/>
        <v>#DIV/0!</v>
      </c>
      <c r="E19" s="7"/>
      <c r="F19" s="7"/>
      <c r="G19" s="7"/>
      <c r="H19" s="7"/>
    </row>
    <row r="20" spans="1:8" ht="15.75" customHeight="1">
      <c r="A20" s="8">
        <v>19</v>
      </c>
      <c r="B20" s="5"/>
      <c r="C20" s="5"/>
      <c r="D20" s="6" t="e">
        <f t="shared" si="0"/>
        <v>#DIV/0!</v>
      </c>
      <c r="E20" s="7"/>
      <c r="F20" s="7"/>
      <c r="G20" s="7"/>
      <c r="H20" s="7"/>
    </row>
    <row r="21" spans="1:8" ht="15.75" customHeight="1">
      <c r="A21" s="8">
        <v>20</v>
      </c>
      <c r="B21" s="5"/>
      <c r="C21" s="5"/>
      <c r="D21" s="6" t="e">
        <f t="shared" si="0"/>
        <v>#DIV/0!</v>
      </c>
      <c r="E21" s="7"/>
      <c r="F21" s="7"/>
      <c r="G21" s="7"/>
      <c r="H21" s="7"/>
    </row>
    <row r="22" spans="1:8" ht="15.75" customHeight="1">
      <c r="A22" s="8">
        <v>21</v>
      </c>
      <c r="B22" s="5"/>
      <c r="C22" s="5"/>
      <c r="D22" s="6" t="e">
        <f t="shared" si="0"/>
        <v>#DIV/0!</v>
      </c>
      <c r="E22" s="7"/>
      <c r="F22" s="7"/>
      <c r="G22" s="7"/>
      <c r="H22" s="7"/>
    </row>
    <row r="23" spans="1:8" ht="15.75" customHeight="1">
      <c r="A23" s="8">
        <v>22</v>
      </c>
      <c r="B23" s="5"/>
      <c r="C23" s="5"/>
      <c r="D23" s="6" t="e">
        <f t="shared" si="0"/>
        <v>#DIV/0!</v>
      </c>
      <c r="E23" s="7"/>
      <c r="F23" s="7"/>
      <c r="G23" s="7"/>
      <c r="H23" s="7"/>
    </row>
    <row r="24" spans="1:8" ht="15.75" customHeight="1">
      <c r="A24" s="8">
        <v>23</v>
      </c>
      <c r="B24" s="5"/>
      <c r="C24" s="5"/>
      <c r="D24" s="6" t="e">
        <f t="shared" si="0"/>
        <v>#DIV/0!</v>
      </c>
      <c r="E24" s="7"/>
      <c r="F24" s="7"/>
      <c r="G24" s="7"/>
      <c r="H24" s="7"/>
    </row>
    <row r="25" spans="1:8" ht="15.75" customHeight="1">
      <c r="A25" s="8">
        <v>24</v>
      </c>
      <c r="B25" s="5"/>
      <c r="C25" s="5"/>
      <c r="D25" s="6" t="e">
        <f t="shared" si="0"/>
        <v>#DIV/0!</v>
      </c>
      <c r="E25" s="7"/>
      <c r="F25" s="7"/>
      <c r="G25" s="7"/>
      <c r="H25" s="7"/>
    </row>
    <row r="26" spans="1:8" ht="15.75" customHeight="1">
      <c r="A26" s="8">
        <v>25</v>
      </c>
      <c r="B26" s="5"/>
      <c r="C26" s="5"/>
      <c r="D26" s="6" t="e">
        <f t="shared" si="0"/>
        <v>#DIV/0!</v>
      </c>
      <c r="E26" s="7"/>
      <c r="F26" s="7"/>
      <c r="G26" s="7"/>
      <c r="H26" s="7"/>
    </row>
    <row r="27" spans="1:8" ht="15.75" customHeight="1">
      <c r="A27" s="4" t="s">
        <v>10</v>
      </c>
      <c r="B27" s="5" t="e">
        <f t="shared" ref="B27:D27" si="1">AVERAGE(B2:B26)</f>
        <v>#DIV/0!</v>
      </c>
      <c r="C27" s="5" t="e">
        <f t="shared" si="1"/>
        <v>#DIV/0!</v>
      </c>
      <c r="D27" s="9" t="e">
        <f t="shared" si="1"/>
        <v>#DIV/0!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0</v>
      </c>
      <c r="C28" s="5">
        <f t="shared" si="2"/>
        <v>0</v>
      </c>
      <c r="D28" s="9" t="e">
        <f t="shared" si="2"/>
        <v>#DIV/0!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0</v>
      </c>
      <c r="C29" s="5">
        <f t="shared" si="3"/>
        <v>0</v>
      </c>
      <c r="D29" s="9" t="e">
        <f t="shared" si="3"/>
        <v>#DIV/0!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5"/>
      <c r="C33" s="5"/>
      <c r="D33" s="11"/>
      <c r="E33" s="5"/>
      <c r="F33" s="7"/>
      <c r="G33" s="7"/>
      <c r="H33" s="7"/>
    </row>
    <row r="34" spans="1:8" ht="15.75" customHeight="1">
      <c r="A34" s="4">
        <v>2</v>
      </c>
      <c r="B34" s="5"/>
      <c r="C34" s="5"/>
      <c r="D34" s="11"/>
      <c r="E34" s="5"/>
      <c r="F34" s="7"/>
      <c r="G34" s="7"/>
      <c r="H34" s="7"/>
    </row>
    <row r="35" spans="1:8" ht="15.75" customHeight="1">
      <c r="A35" s="4">
        <v>3</v>
      </c>
      <c r="B35" s="5"/>
      <c r="C35" s="5"/>
      <c r="D35" s="11"/>
      <c r="E35" s="7"/>
      <c r="F35" s="7"/>
      <c r="G35" s="7"/>
      <c r="H35" s="7"/>
    </row>
    <row r="36" spans="1:8" ht="15.75" customHeight="1">
      <c r="A36" s="4">
        <v>4</v>
      </c>
      <c r="B36" s="5"/>
      <c r="C36" s="5"/>
      <c r="D36" s="11"/>
      <c r="E36" s="5"/>
      <c r="F36" s="7"/>
      <c r="G36" s="7"/>
      <c r="H36" s="7"/>
    </row>
    <row r="37" spans="1:8" ht="15.75" customHeight="1">
      <c r="A37" s="4">
        <v>5</v>
      </c>
      <c r="B37" s="5"/>
      <c r="C37" s="5"/>
      <c r="D37" s="11"/>
      <c r="E37" s="5"/>
      <c r="F37" s="7"/>
      <c r="G37" s="7"/>
      <c r="H37" s="7"/>
    </row>
    <row r="38" spans="1:8" ht="15.75" customHeight="1">
      <c r="A38" s="4">
        <v>6</v>
      </c>
      <c r="B38" s="5"/>
      <c r="C38" s="5"/>
      <c r="D38" s="11"/>
      <c r="E38" s="5"/>
      <c r="F38" s="7"/>
      <c r="G38" s="7"/>
      <c r="H38" s="7"/>
    </row>
    <row r="39" spans="1:8" ht="15.75" customHeight="1">
      <c r="A39" s="4">
        <v>7</v>
      </c>
      <c r="B39" s="5"/>
      <c r="C39" s="5"/>
      <c r="D39" s="11"/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 t="e">
        <f t="shared" ref="B58:C58" si="4">AVERAGE(B33:B57)</f>
        <v>#DIV/0!</v>
      </c>
      <c r="C58" s="5" t="e">
        <f t="shared" si="4"/>
        <v>#DIV/0!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0</v>
      </c>
      <c r="C59" s="5">
        <f t="shared" si="5"/>
        <v>0</v>
      </c>
      <c r="D59" s="11">
        <f t="shared" si="5"/>
        <v>0</v>
      </c>
      <c r="E59" s="7"/>
      <c r="F59" s="7"/>
      <c r="G59" s="7"/>
      <c r="H59" s="7"/>
    </row>
    <row r="60" spans="1:8" ht="14">
      <c r="A60" s="4" t="s">
        <v>12</v>
      </c>
      <c r="B60" s="5" t="e">
        <f t="shared" ref="B60:D60" si="6">MAX(B34:B58)</f>
        <v>#DIV/0!</v>
      </c>
      <c r="C60" s="5" t="e">
        <f t="shared" si="6"/>
        <v>#DIV/0!</v>
      </c>
      <c r="D60" s="11">
        <f t="shared" si="6"/>
        <v>0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006"/>
  <sheetViews>
    <sheetView workbookViewId="0"/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5"/>
      <c r="C2" s="5"/>
      <c r="D2" s="6" t="e">
        <f t="shared" ref="D2:D26" si="0">B2/C2</f>
        <v>#DIV/0!</v>
      </c>
      <c r="E2" s="7"/>
      <c r="F2" s="7"/>
      <c r="G2" s="7"/>
      <c r="H2" s="7"/>
    </row>
    <row r="3" spans="1:8" ht="15.75" customHeight="1">
      <c r="A3" s="4">
        <v>2</v>
      </c>
      <c r="B3" s="5"/>
      <c r="C3" s="5"/>
      <c r="D3" s="6" t="e">
        <f t="shared" si="0"/>
        <v>#DIV/0!</v>
      </c>
      <c r="E3" s="7"/>
      <c r="F3" s="7"/>
      <c r="G3" s="7"/>
      <c r="H3" s="7"/>
    </row>
    <row r="4" spans="1:8" ht="15.75" customHeight="1">
      <c r="A4" s="4">
        <v>3</v>
      </c>
      <c r="B4" s="5"/>
      <c r="C4" s="5"/>
      <c r="D4" s="6" t="e">
        <f t="shared" si="0"/>
        <v>#DIV/0!</v>
      </c>
      <c r="E4" s="7"/>
      <c r="F4" s="7"/>
      <c r="G4" s="7"/>
      <c r="H4" s="7"/>
    </row>
    <row r="5" spans="1:8" ht="15.75" customHeight="1">
      <c r="A5" s="4">
        <v>4</v>
      </c>
      <c r="B5" s="5"/>
      <c r="C5" s="5"/>
      <c r="D5" s="6" t="e">
        <f t="shared" si="0"/>
        <v>#DIV/0!</v>
      </c>
      <c r="E5" s="7"/>
      <c r="F5" s="7"/>
      <c r="G5" s="7"/>
      <c r="H5" s="7"/>
    </row>
    <row r="6" spans="1:8" ht="15.75" customHeight="1">
      <c r="A6" s="4">
        <v>5</v>
      </c>
      <c r="B6" s="5"/>
      <c r="C6" s="5"/>
      <c r="D6" s="6" t="e">
        <f t="shared" si="0"/>
        <v>#DIV/0!</v>
      </c>
      <c r="E6" s="7"/>
      <c r="F6" s="7"/>
      <c r="G6" s="7"/>
      <c r="H6" s="7"/>
    </row>
    <row r="7" spans="1:8" ht="15.75" customHeight="1">
      <c r="A7" s="4">
        <v>6</v>
      </c>
      <c r="B7" s="5"/>
      <c r="C7" s="5"/>
      <c r="D7" s="6" t="e">
        <f t="shared" si="0"/>
        <v>#DIV/0!</v>
      </c>
      <c r="E7" s="7"/>
      <c r="F7" s="7"/>
      <c r="G7" s="7"/>
      <c r="H7" s="7"/>
    </row>
    <row r="8" spans="1:8" ht="15.75" customHeight="1">
      <c r="A8" s="4">
        <v>7</v>
      </c>
      <c r="B8" s="5"/>
      <c r="C8" s="5"/>
      <c r="D8" s="6" t="e">
        <f t="shared" si="0"/>
        <v>#DIV/0!</v>
      </c>
      <c r="E8" s="7"/>
      <c r="F8" s="7"/>
      <c r="G8" s="7"/>
      <c r="H8" s="7"/>
    </row>
    <row r="9" spans="1:8" ht="15.75" customHeight="1">
      <c r="A9" s="4">
        <v>8</v>
      </c>
      <c r="B9" s="5"/>
      <c r="C9" s="5"/>
      <c r="D9" s="6" t="e">
        <f t="shared" si="0"/>
        <v>#DIV/0!</v>
      </c>
      <c r="E9" s="7"/>
      <c r="F9" s="7"/>
      <c r="G9" s="7"/>
      <c r="H9" s="7"/>
    </row>
    <row r="10" spans="1:8" ht="15.75" customHeight="1">
      <c r="A10" s="4">
        <v>9</v>
      </c>
      <c r="B10" s="5"/>
      <c r="C10" s="5"/>
      <c r="D10" s="6" t="e">
        <f t="shared" si="0"/>
        <v>#DIV/0!</v>
      </c>
      <c r="E10" s="7"/>
      <c r="F10" s="7"/>
      <c r="G10" s="7"/>
      <c r="H10" s="7"/>
    </row>
    <row r="11" spans="1:8" ht="15.75" customHeight="1">
      <c r="A11" s="4">
        <v>10</v>
      </c>
      <c r="B11" s="5"/>
      <c r="C11" s="5"/>
      <c r="D11" s="6" t="e">
        <f t="shared" si="0"/>
        <v>#DIV/0!</v>
      </c>
      <c r="E11" s="7"/>
      <c r="F11" s="7"/>
      <c r="G11" s="7"/>
      <c r="H11" s="7"/>
    </row>
    <row r="12" spans="1:8" ht="15.75" customHeight="1">
      <c r="A12" s="8">
        <v>11</v>
      </c>
      <c r="B12" s="5"/>
      <c r="C12" s="5"/>
      <c r="D12" s="6" t="e">
        <f t="shared" si="0"/>
        <v>#DIV/0!</v>
      </c>
      <c r="E12" s="7"/>
      <c r="F12" s="7"/>
      <c r="G12" s="7"/>
      <c r="H12" s="7"/>
    </row>
    <row r="13" spans="1:8" ht="15.75" customHeight="1">
      <c r="A13" s="8">
        <v>12</v>
      </c>
      <c r="B13" s="5"/>
      <c r="C13" s="5"/>
      <c r="D13" s="6" t="e">
        <f t="shared" si="0"/>
        <v>#DIV/0!</v>
      </c>
      <c r="E13" s="7"/>
      <c r="F13" s="7"/>
      <c r="G13" s="7"/>
      <c r="H13" s="7"/>
    </row>
    <row r="14" spans="1:8" ht="15.75" customHeight="1">
      <c r="A14" s="8">
        <v>13</v>
      </c>
      <c r="B14" s="5"/>
      <c r="C14" s="5"/>
      <c r="D14" s="6" t="e">
        <f t="shared" si="0"/>
        <v>#DIV/0!</v>
      </c>
      <c r="E14" s="7"/>
      <c r="F14" s="7"/>
      <c r="G14" s="7"/>
      <c r="H14" s="7"/>
    </row>
    <row r="15" spans="1:8" ht="15.75" customHeight="1">
      <c r="A15" s="8">
        <v>14</v>
      </c>
      <c r="B15" s="5"/>
      <c r="C15" s="5"/>
      <c r="D15" s="6" t="e">
        <f t="shared" si="0"/>
        <v>#DIV/0!</v>
      </c>
      <c r="E15" s="7"/>
      <c r="F15" s="7"/>
      <c r="G15" s="7"/>
      <c r="H15" s="7"/>
    </row>
    <row r="16" spans="1:8" ht="15.75" customHeight="1">
      <c r="A16" s="8">
        <v>15</v>
      </c>
      <c r="B16" s="5"/>
      <c r="C16" s="5"/>
      <c r="D16" s="6" t="e">
        <f t="shared" si="0"/>
        <v>#DIV/0!</v>
      </c>
      <c r="E16" s="7"/>
      <c r="F16" s="7"/>
      <c r="G16" s="7"/>
      <c r="H16" s="7"/>
    </row>
    <row r="17" spans="1:8" ht="15.75" customHeight="1">
      <c r="A17" s="8">
        <v>16</v>
      </c>
      <c r="B17" s="5"/>
      <c r="C17" s="5"/>
      <c r="D17" s="6" t="e">
        <f t="shared" si="0"/>
        <v>#DIV/0!</v>
      </c>
      <c r="E17" s="7"/>
      <c r="F17" s="7"/>
      <c r="G17" s="7"/>
      <c r="H17" s="7"/>
    </row>
    <row r="18" spans="1:8" ht="15.75" customHeight="1">
      <c r="A18" s="8">
        <v>17</v>
      </c>
      <c r="B18" s="5"/>
      <c r="C18" s="5"/>
      <c r="D18" s="6" t="e">
        <f t="shared" si="0"/>
        <v>#DIV/0!</v>
      </c>
      <c r="E18" s="7"/>
      <c r="F18" s="7"/>
      <c r="G18" s="7"/>
      <c r="H18" s="7"/>
    </row>
    <row r="19" spans="1:8" ht="15.75" customHeight="1">
      <c r="A19" s="8">
        <v>18</v>
      </c>
      <c r="B19" s="5"/>
      <c r="C19" s="5"/>
      <c r="D19" s="6" t="e">
        <f t="shared" si="0"/>
        <v>#DIV/0!</v>
      </c>
      <c r="E19" s="7"/>
      <c r="F19" s="7"/>
      <c r="G19" s="7"/>
      <c r="H19" s="7"/>
    </row>
    <row r="20" spans="1:8" ht="15.75" customHeight="1">
      <c r="A20" s="8">
        <v>19</v>
      </c>
      <c r="B20" s="5"/>
      <c r="C20" s="5"/>
      <c r="D20" s="6" t="e">
        <f t="shared" si="0"/>
        <v>#DIV/0!</v>
      </c>
      <c r="E20" s="7"/>
      <c r="F20" s="7"/>
      <c r="G20" s="7"/>
      <c r="H20" s="7"/>
    </row>
    <row r="21" spans="1:8" ht="15.75" customHeight="1">
      <c r="A21" s="8">
        <v>20</v>
      </c>
      <c r="B21" s="5"/>
      <c r="C21" s="5"/>
      <c r="D21" s="6" t="e">
        <f t="shared" si="0"/>
        <v>#DIV/0!</v>
      </c>
      <c r="E21" s="7"/>
      <c r="F21" s="7"/>
      <c r="G21" s="7"/>
      <c r="H21" s="7"/>
    </row>
    <row r="22" spans="1:8" ht="15.75" customHeight="1">
      <c r="A22" s="8">
        <v>21</v>
      </c>
      <c r="B22" s="5"/>
      <c r="C22" s="5"/>
      <c r="D22" s="6" t="e">
        <f t="shared" si="0"/>
        <v>#DIV/0!</v>
      </c>
      <c r="E22" s="7"/>
      <c r="F22" s="7"/>
      <c r="G22" s="7"/>
      <c r="H22" s="7"/>
    </row>
    <row r="23" spans="1:8" ht="15.75" customHeight="1">
      <c r="A23" s="8">
        <v>22</v>
      </c>
      <c r="B23" s="5"/>
      <c r="C23" s="5"/>
      <c r="D23" s="6" t="e">
        <f t="shared" si="0"/>
        <v>#DIV/0!</v>
      </c>
      <c r="E23" s="7"/>
      <c r="F23" s="7"/>
      <c r="G23" s="7"/>
      <c r="H23" s="7"/>
    </row>
    <row r="24" spans="1:8" ht="15.75" customHeight="1">
      <c r="A24" s="8">
        <v>23</v>
      </c>
      <c r="B24" s="5"/>
      <c r="C24" s="5"/>
      <c r="D24" s="6" t="e">
        <f t="shared" si="0"/>
        <v>#DIV/0!</v>
      </c>
      <c r="E24" s="7"/>
      <c r="F24" s="7"/>
      <c r="G24" s="7"/>
      <c r="H24" s="7"/>
    </row>
    <row r="25" spans="1:8" ht="15.75" customHeight="1">
      <c r="A25" s="8">
        <v>24</v>
      </c>
      <c r="B25" s="5"/>
      <c r="C25" s="5"/>
      <c r="D25" s="6" t="e">
        <f t="shared" si="0"/>
        <v>#DIV/0!</v>
      </c>
      <c r="E25" s="7"/>
      <c r="F25" s="7"/>
      <c r="G25" s="7"/>
      <c r="H25" s="7"/>
    </row>
    <row r="26" spans="1:8" ht="15.75" customHeight="1">
      <c r="A26" s="8">
        <v>25</v>
      </c>
      <c r="B26" s="5"/>
      <c r="C26" s="5"/>
      <c r="D26" s="6" t="e">
        <f t="shared" si="0"/>
        <v>#DIV/0!</v>
      </c>
      <c r="E26" s="7"/>
      <c r="F26" s="7"/>
      <c r="G26" s="7"/>
      <c r="H26" s="7"/>
    </row>
    <row r="27" spans="1:8" ht="15.75" customHeight="1">
      <c r="A27" s="4" t="s">
        <v>10</v>
      </c>
      <c r="B27" s="5" t="e">
        <f t="shared" ref="B27:D27" si="1">AVERAGE(B2:B26)</f>
        <v>#DIV/0!</v>
      </c>
      <c r="C27" s="5" t="e">
        <f t="shared" si="1"/>
        <v>#DIV/0!</v>
      </c>
      <c r="D27" s="9" t="e">
        <f t="shared" si="1"/>
        <v>#DIV/0!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0</v>
      </c>
      <c r="C28" s="5">
        <f t="shared" si="2"/>
        <v>0</v>
      </c>
      <c r="D28" s="9" t="e">
        <f t="shared" si="2"/>
        <v>#DIV/0!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0</v>
      </c>
      <c r="C29" s="5">
        <f t="shared" si="3"/>
        <v>0</v>
      </c>
      <c r="D29" s="9" t="e">
        <f t="shared" si="3"/>
        <v>#DIV/0!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5"/>
      <c r="C33" s="5"/>
      <c r="D33" s="11"/>
      <c r="E33" s="5"/>
      <c r="F33" s="7"/>
      <c r="G33" s="7"/>
      <c r="H33" s="7"/>
    </row>
    <row r="34" spans="1:8" ht="15.75" customHeight="1">
      <c r="A34" s="4">
        <v>2</v>
      </c>
      <c r="B34" s="5"/>
      <c r="C34" s="5"/>
      <c r="D34" s="11"/>
      <c r="E34" s="5"/>
      <c r="F34" s="7"/>
      <c r="G34" s="7"/>
      <c r="H34" s="7"/>
    </row>
    <row r="35" spans="1:8" ht="15.75" customHeight="1">
      <c r="A35" s="4">
        <v>3</v>
      </c>
      <c r="B35" s="5"/>
      <c r="C35" s="5"/>
      <c r="D35" s="11"/>
      <c r="E35" s="7"/>
      <c r="F35" s="7"/>
      <c r="G35" s="7"/>
      <c r="H35" s="7"/>
    </row>
    <row r="36" spans="1:8" ht="15.75" customHeight="1">
      <c r="A36" s="4">
        <v>4</v>
      </c>
      <c r="B36" s="5"/>
      <c r="C36" s="5"/>
      <c r="D36" s="11"/>
      <c r="E36" s="5"/>
      <c r="F36" s="7"/>
      <c r="G36" s="7"/>
      <c r="H36" s="7"/>
    </row>
    <row r="37" spans="1:8" ht="15.75" customHeight="1">
      <c r="A37" s="4">
        <v>5</v>
      </c>
      <c r="B37" s="5"/>
      <c r="C37" s="5"/>
      <c r="D37" s="11"/>
      <c r="E37" s="5"/>
      <c r="F37" s="7"/>
      <c r="G37" s="7"/>
      <c r="H37" s="7"/>
    </row>
    <row r="38" spans="1:8" ht="15.75" customHeight="1">
      <c r="A38" s="4">
        <v>6</v>
      </c>
      <c r="B38" s="5"/>
      <c r="C38" s="5"/>
      <c r="D38" s="11"/>
      <c r="E38" s="5"/>
      <c r="F38" s="7"/>
      <c r="G38" s="7"/>
      <c r="H38" s="7"/>
    </row>
    <row r="39" spans="1:8" ht="15.75" customHeight="1">
      <c r="A39" s="4">
        <v>7</v>
      </c>
      <c r="B39" s="5"/>
      <c r="C39" s="5"/>
      <c r="D39" s="11"/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 t="e">
        <f t="shared" ref="B58:C58" si="4">AVERAGE(B33:B57)</f>
        <v>#DIV/0!</v>
      </c>
      <c r="C58" s="5" t="e">
        <f t="shared" si="4"/>
        <v>#DIV/0!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0</v>
      </c>
      <c r="C59" s="5">
        <f t="shared" si="5"/>
        <v>0</v>
      </c>
      <c r="D59" s="11">
        <f t="shared" si="5"/>
        <v>0</v>
      </c>
      <c r="E59" s="7"/>
      <c r="F59" s="7"/>
      <c r="G59" s="7"/>
      <c r="H59" s="7"/>
    </row>
    <row r="60" spans="1:8" ht="14">
      <c r="A60" s="4" t="s">
        <v>12</v>
      </c>
      <c r="B60" s="5" t="e">
        <f t="shared" ref="B60:D60" si="6">MAX(B34:B58)</f>
        <v>#DIV/0!</v>
      </c>
      <c r="C60" s="5" t="e">
        <f t="shared" si="6"/>
        <v>#DIV/0!</v>
      </c>
      <c r="D60" s="11">
        <f t="shared" si="6"/>
        <v>0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006"/>
  <sheetViews>
    <sheetView workbookViewId="0"/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5"/>
      <c r="C2" s="5"/>
      <c r="D2" s="6" t="e">
        <f t="shared" ref="D2:D26" si="0">B2/C2</f>
        <v>#DIV/0!</v>
      </c>
      <c r="E2" s="7"/>
      <c r="F2" s="7"/>
      <c r="G2" s="7"/>
      <c r="H2" s="7"/>
    </row>
    <row r="3" spans="1:8" ht="15.75" customHeight="1">
      <c r="A3" s="4">
        <v>2</v>
      </c>
      <c r="B3" s="5"/>
      <c r="C3" s="5"/>
      <c r="D3" s="6" t="e">
        <f t="shared" si="0"/>
        <v>#DIV/0!</v>
      </c>
      <c r="E3" s="7"/>
      <c r="F3" s="7"/>
      <c r="G3" s="7"/>
      <c r="H3" s="7"/>
    </row>
    <row r="4" spans="1:8" ht="15.75" customHeight="1">
      <c r="A4" s="4">
        <v>3</v>
      </c>
      <c r="B4" s="5"/>
      <c r="C4" s="5"/>
      <c r="D4" s="6" t="e">
        <f t="shared" si="0"/>
        <v>#DIV/0!</v>
      </c>
      <c r="E4" s="7"/>
      <c r="F4" s="7"/>
      <c r="G4" s="7"/>
      <c r="H4" s="7"/>
    </row>
    <row r="5" spans="1:8" ht="15.75" customHeight="1">
      <c r="A5" s="4">
        <v>4</v>
      </c>
      <c r="B5" s="5"/>
      <c r="C5" s="5"/>
      <c r="D5" s="6" t="e">
        <f t="shared" si="0"/>
        <v>#DIV/0!</v>
      </c>
      <c r="E5" s="7"/>
      <c r="F5" s="7"/>
      <c r="G5" s="7"/>
      <c r="H5" s="7"/>
    </row>
    <row r="6" spans="1:8" ht="15.75" customHeight="1">
      <c r="A6" s="4">
        <v>5</v>
      </c>
      <c r="B6" s="5"/>
      <c r="C6" s="5"/>
      <c r="D6" s="6" t="e">
        <f t="shared" si="0"/>
        <v>#DIV/0!</v>
      </c>
      <c r="E6" s="7"/>
      <c r="F6" s="7"/>
      <c r="G6" s="7"/>
      <c r="H6" s="7"/>
    </row>
    <row r="7" spans="1:8" ht="15.75" customHeight="1">
      <c r="A7" s="4">
        <v>6</v>
      </c>
      <c r="B7" s="5"/>
      <c r="C7" s="5"/>
      <c r="D7" s="6" t="e">
        <f t="shared" si="0"/>
        <v>#DIV/0!</v>
      </c>
      <c r="E7" s="7"/>
      <c r="F7" s="7"/>
      <c r="G7" s="7"/>
      <c r="H7" s="7"/>
    </row>
    <row r="8" spans="1:8" ht="15.75" customHeight="1">
      <c r="A8" s="4">
        <v>7</v>
      </c>
      <c r="B8" s="5"/>
      <c r="C8" s="5"/>
      <c r="D8" s="6" t="e">
        <f t="shared" si="0"/>
        <v>#DIV/0!</v>
      </c>
      <c r="E8" s="7"/>
      <c r="F8" s="7"/>
      <c r="G8" s="7"/>
      <c r="H8" s="7"/>
    </row>
    <row r="9" spans="1:8" ht="15.75" customHeight="1">
      <c r="A9" s="4">
        <v>8</v>
      </c>
      <c r="B9" s="5"/>
      <c r="C9" s="5"/>
      <c r="D9" s="6" t="e">
        <f t="shared" si="0"/>
        <v>#DIV/0!</v>
      </c>
      <c r="E9" s="7"/>
      <c r="F9" s="7"/>
      <c r="G9" s="7"/>
      <c r="H9" s="7"/>
    </row>
    <row r="10" spans="1:8" ht="15.75" customHeight="1">
      <c r="A10" s="4">
        <v>9</v>
      </c>
      <c r="B10" s="5"/>
      <c r="C10" s="5"/>
      <c r="D10" s="6" t="e">
        <f t="shared" si="0"/>
        <v>#DIV/0!</v>
      </c>
      <c r="E10" s="7"/>
      <c r="F10" s="7"/>
      <c r="G10" s="7"/>
      <c r="H10" s="7"/>
    </row>
    <row r="11" spans="1:8" ht="15.75" customHeight="1">
      <c r="A11" s="4">
        <v>10</v>
      </c>
      <c r="B11" s="5"/>
      <c r="C11" s="5"/>
      <c r="D11" s="6" t="e">
        <f t="shared" si="0"/>
        <v>#DIV/0!</v>
      </c>
      <c r="E11" s="7"/>
      <c r="F11" s="7"/>
      <c r="G11" s="7"/>
      <c r="H11" s="7"/>
    </row>
    <row r="12" spans="1:8" ht="15.75" customHeight="1">
      <c r="A12" s="8">
        <v>11</v>
      </c>
      <c r="B12" s="5"/>
      <c r="C12" s="5"/>
      <c r="D12" s="6" t="e">
        <f t="shared" si="0"/>
        <v>#DIV/0!</v>
      </c>
      <c r="E12" s="7"/>
      <c r="F12" s="7"/>
      <c r="G12" s="7"/>
      <c r="H12" s="7"/>
    </row>
    <row r="13" spans="1:8" ht="15.75" customHeight="1">
      <c r="A13" s="8">
        <v>12</v>
      </c>
      <c r="B13" s="5"/>
      <c r="C13" s="5"/>
      <c r="D13" s="6" t="e">
        <f t="shared" si="0"/>
        <v>#DIV/0!</v>
      </c>
      <c r="E13" s="7"/>
      <c r="F13" s="7"/>
      <c r="G13" s="7"/>
      <c r="H13" s="7"/>
    </row>
    <row r="14" spans="1:8" ht="15.75" customHeight="1">
      <c r="A14" s="8">
        <v>13</v>
      </c>
      <c r="B14" s="5"/>
      <c r="C14" s="5"/>
      <c r="D14" s="6" t="e">
        <f t="shared" si="0"/>
        <v>#DIV/0!</v>
      </c>
      <c r="E14" s="7"/>
      <c r="F14" s="7"/>
      <c r="G14" s="7"/>
      <c r="H14" s="7"/>
    </row>
    <row r="15" spans="1:8" ht="15.75" customHeight="1">
      <c r="A15" s="8">
        <v>14</v>
      </c>
      <c r="B15" s="5"/>
      <c r="C15" s="5"/>
      <c r="D15" s="6" t="e">
        <f t="shared" si="0"/>
        <v>#DIV/0!</v>
      </c>
      <c r="E15" s="7"/>
      <c r="F15" s="7"/>
      <c r="G15" s="7"/>
      <c r="H15" s="7"/>
    </row>
    <row r="16" spans="1:8" ht="15.75" customHeight="1">
      <c r="A16" s="8">
        <v>15</v>
      </c>
      <c r="B16" s="5"/>
      <c r="C16" s="5"/>
      <c r="D16" s="6" t="e">
        <f t="shared" si="0"/>
        <v>#DIV/0!</v>
      </c>
      <c r="E16" s="7"/>
      <c r="F16" s="7"/>
      <c r="G16" s="7"/>
      <c r="H16" s="7"/>
    </row>
    <row r="17" spans="1:8" ht="15.75" customHeight="1">
      <c r="A17" s="8">
        <v>16</v>
      </c>
      <c r="B17" s="5"/>
      <c r="C17" s="5"/>
      <c r="D17" s="6" t="e">
        <f t="shared" si="0"/>
        <v>#DIV/0!</v>
      </c>
      <c r="E17" s="7"/>
      <c r="F17" s="7"/>
      <c r="G17" s="7"/>
      <c r="H17" s="7"/>
    </row>
    <row r="18" spans="1:8" ht="15.75" customHeight="1">
      <c r="A18" s="8">
        <v>17</v>
      </c>
      <c r="B18" s="5"/>
      <c r="C18" s="5"/>
      <c r="D18" s="6" t="e">
        <f t="shared" si="0"/>
        <v>#DIV/0!</v>
      </c>
      <c r="E18" s="7"/>
      <c r="F18" s="7"/>
      <c r="G18" s="7"/>
      <c r="H18" s="7"/>
    </row>
    <row r="19" spans="1:8" ht="15.75" customHeight="1">
      <c r="A19" s="8">
        <v>18</v>
      </c>
      <c r="B19" s="5"/>
      <c r="C19" s="5"/>
      <c r="D19" s="6" t="e">
        <f t="shared" si="0"/>
        <v>#DIV/0!</v>
      </c>
      <c r="E19" s="7"/>
      <c r="F19" s="7"/>
      <c r="G19" s="7"/>
      <c r="H19" s="7"/>
    </row>
    <row r="20" spans="1:8" ht="15.75" customHeight="1">
      <c r="A20" s="8">
        <v>19</v>
      </c>
      <c r="B20" s="5"/>
      <c r="C20" s="5"/>
      <c r="D20" s="6" t="e">
        <f t="shared" si="0"/>
        <v>#DIV/0!</v>
      </c>
      <c r="E20" s="7"/>
      <c r="F20" s="7"/>
      <c r="G20" s="7"/>
      <c r="H20" s="7"/>
    </row>
    <row r="21" spans="1:8" ht="15.75" customHeight="1">
      <c r="A21" s="8">
        <v>20</v>
      </c>
      <c r="B21" s="5"/>
      <c r="C21" s="5"/>
      <c r="D21" s="6" t="e">
        <f t="shared" si="0"/>
        <v>#DIV/0!</v>
      </c>
      <c r="E21" s="7"/>
      <c r="F21" s="7"/>
      <c r="G21" s="7"/>
      <c r="H21" s="7"/>
    </row>
    <row r="22" spans="1:8" ht="15.75" customHeight="1">
      <c r="A22" s="8">
        <v>21</v>
      </c>
      <c r="B22" s="5"/>
      <c r="C22" s="5"/>
      <c r="D22" s="6" t="e">
        <f t="shared" si="0"/>
        <v>#DIV/0!</v>
      </c>
      <c r="E22" s="7"/>
      <c r="F22" s="7"/>
      <c r="G22" s="7"/>
      <c r="H22" s="7"/>
    </row>
    <row r="23" spans="1:8" ht="15.75" customHeight="1">
      <c r="A23" s="8">
        <v>22</v>
      </c>
      <c r="B23" s="5"/>
      <c r="C23" s="5"/>
      <c r="D23" s="6" t="e">
        <f t="shared" si="0"/>
        <v>#DIV/0!</v>
      </c>
      <c r="E23" s="7"/>
      <c r="F23" s="7"/>
      <c r="G23" s="7"/>
      <c r="H23" s="7"/>
    </row>
    <row r="24" spans="1:8" ht="15.75" customHeight="1">
      <c r="A24" s="8">
        <v>23</v>
      </c>
      <c r="B24" s="5"/>
      <c r="C24" s="5"/>
      <c r="D24" s="6" t="e">
        <f t="shared" si="0"/>
        <v>#DIV/0!</v>
      </c>
      <c r="E24" s="7"/>
      <c r="F24" s="7"/>
      <c r="G24" s="7"/>
      <c r="H24" s="7"/>
    </row>
    <row r="25" spans="1:8" ht="15.75" customHeight="1">
      <c r="A25" s="8">
        <v>24</v>
      </c>
      <c r="B25" s="5"/>
      <c r="C25" s="5"/>
      <c r="D25" s="6" t="e">
        <f t="shared" si="0"/>
        <v>#DIV/0!</v>
      </c>
      <c r="E25" s="7"/>
      <c r="F25" s="7"/>
      <c r="G25" s="7"/>
      <c r="H25" s="7"/>
    </row>
    <row r="26" spans="1:8" ht="15.75" customHeight="1">
      <c r="A26" s="8">
        <v>25</v>
      </c>
      <c r="B26" s="5"/>
      <c r="C26" s="5"/>
      <c r="D26" s="6" t="e">
        <f t="shared" si="0"/>
        <v>#DIV/0!</v>
      </c>
      <c r="E26" s="7"/>
      <c r="F26" s="7"/>
      <c r="G26" s="7"/>
      <c r="H26" s="7"/>
    </row>
    <row r="27" spans="1:8" ht="15.75" customHeight="1">
      <c r="A27" s="4" t="s">
        <v>10</v>
      </c>
      <c r="B27" s="5" t="e">
        <f t="shared" ref="B27:D27" si="1">AVERAGE(B2:B26)</f>
        <v>#DIV/0!</v>
      </c>
      <c r="C27" s="5" t="e">
        <f t="shared" si="1"/>
        <v>#DIV/0!</v>
      </c>
      <c r="D27" s="9" t="e">
        <f t="shared" si="1"/>
        <v>#DIV/0!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0</v>
      </c>
      <c r="C28" s="5">
        <f t="shared" si="2"/>
        <v>0</v>
      </c>
      <c r="D28" s="9" t="e">
        <f t="shared" si="2"/>
        <v>#DIV/0!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0</v>
      </c>
      <c r="C29" s="5">
        <f t="shared" si="3"/>
        <v>0</v>
      </c>
      <c r="D29" s="9" t="e">
        <f t="shared" si="3"/>
        <v>#DIV/0!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5"/>
      <c r="C33" s="5"/>
      <c r="D33" s="11"/>
      <c r="E33" s="5"/>
      <c r="F33" s="7"/>
      <c r="G33" s="7"/>
      <c r="H33" s="7"/>
    </row>
    <row r="34" spans="1:8" ht="15.75" customHeight="1">
      <c r="A34" s="4">
        <v>2</v>
      </c>
      <c r="B34" s="5"/>
      <c r="C34" s="5"/>
      <c r="D34" s="11"/>
      <c r="E34" s="5"/>
      <c r="F34" s="7"/>
      <c r="G34" s="7"/>
      <c r="H34" s="7"/>
    </row>
    <row r="35" spans="1:8" ht="15.75" customHeight="1">
      <c r="A35" s="4">
        <v>3</v>
      </c>
      <c r="B35" s="5"/>
      <c r="C35" s="5"/>
      <c r="D35" s="11"/>
      <c r="E35" s="7"/>
      <c r="F35" s="7"/>
      <c r="G35" s="7"/>
      <c r="H35" s="7"/>
    </row>
    <row r="36" spans="1:8" ht="15.75" customHeight="1">
      <c r="A36" s="4">
        <v>4</v>
      </c>
      <c r="B36" s="5"/>
      <c r="C36" s="5"/>
      <c r="D36" s="11"/>
      <c r="E36" s="5"/>
      <c r="F36" s="7"/>
      <c r="G36" s="7"/>
      <c r="H36" s="7"/>
    </row>
    <row r="37" spans="1:8" ht="15.75" customHeight="1">
      <c r="A37" s="4">
        <v>5</v>
      </c>
      <c r="B37" s="5"/>
      <c r="C37" s="5"/>
      <c r="D37" s="11"/>
      <c r="E37" s="5"/>
      <c r="F37" s="7"/>
      <c r="G37" s="7"/>
      <c r="H37" s="7"/>
    </row>
    <row r="38" spans="1:8" ht="15.75" customHeight="1">
      <c r="A38" s="4">
        <v>6</v>
      </c>
      <c r="B38" s="5"/>
      <c r="C38" s="5"/>
      <c r="D38" s="11"/>
      <c r="E38" s="5"/>
      <c r="F38" s="7"/>
      <c r="G38" s="7"/>
      <c r="H38" s="7"/>
    </row>
    <row r="39" spans="1:8" ht="15.75" customHeight="1">
      <c r="A39" s="4">
        <v>7</v>
      </c>
      <c r="B39" s="5"/>
      <c r="C39" s="5"/>
      <c r="D39" s="11"/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 t="e">
        <f t="shared" ref="B58:C58" si="4">AVERAGE(B33:B57)</f>
        <v>#DIV/0!</v>
      </c>
      <c r="C58" s="5" t="e">
        <f t="shared" si="4"/>
        <v>#DIV/0!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0</v>
      </c>
      <c r="C59" s="5">
        <f t="shared" si="5"/>
        <v>0</v>
      </c>
      <c r="D59" s="11">
        <f t="shared" si="5"/>
        <v>0</v>
      </c>
      <c r="E59" s="7"/>
      <c r="F59" s="7"/>
      <c r="G59" s="7"/>
      <c r="H59" s="7"/>
    </row>
    <row r="60" spans="1:8" ht="14">
      <c r="A60" s="4" t="s">
        <v>12</v>
      </c>
      <c r="B60" s="5" t="e">
        <f t="shared" ref="B60:D60" si="6">MAX(B34:B58)</f>
        <v>#DIV/0!</v>
      </c>
      <c r="C60" s="5" t="e">
        <f t="shared" si="6"/>
        <v>#DIV/0!</v>
      </c>
      <c r="D60" s="11">
        <f t="shared" si="6"/>
        <v>0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1006"/>
  <sheetViews>
    <sheetView workbookViewId="0"/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5"/>
      <c r="C2" s="5"/>
      <c r="D2" s="6" t="e">
        <f t="shared" ref="D2:D26" si="0">B2/C2</f>
        <v>#DIV/0!</v>
      </c>
      <c r="E2" s="7"/>
      <c r="F2" s="7"/>
      <c r="G2" s="7"/>
      <c r="H2" s="7"/>
    </row>
    <row r="3" spans="1:8" ht="15.75" customHeight="1">
      <c r="A3" s="4">
        <v>2</v>
      </c>
      <c r="B3" s="5"/>
      <c r="C3" s="5"/>
      <c r="D3" s="6" t="e">
        <f t="shared" si="0"/>
        <v>#DIV/0!</v>
      </c>
      <c r="E3" s="7"/>
      <c r="F3" s="7"/>
      <c r="G3" s="7"/>
      <c r="H3" s="7"/>
    </row>
    <row r="4" spans="1:8" ht="15.75" customHeight="1">
      <c r="A4" s="4">
        <v>3</v>
      </c>
      <c r="B4" s="5"/>
      <c r="C4" s="5"/>
      <c r="D4" s="6" t="e">
        <f t="shared" si="0"/>
        <v>#DIV/0!</v>
      </c>
      <c r="E4" s="7"/>
      <c r="F4" s="7"/>
      <c r="G4" s="7"/>
      <c r="H4" s="7"/>
    </row>
    <row r="5" spans="1:8" ht="15.75" customHeight="1">
      <c r="A5" s="4">
        <v>4</v>
      </c>
      <c r="B5" s="5"/>
      <c r="C5" s="5"/>
      <c r="D5" s="6" t="e">
        <f t="shared" si="0"/>
        <v>#DIV/0!</v>
      </c>
      <c r="E5" s="7"/>
      <c r="F5" s="7"/>
      <c r="G5" s="7"/>
      <c r="H5" s="7"/>
    </row>
    <row r="6" spans="1:8" ht="15.75" customHeight="1">
      <c r="A6" s="4">
        <v>5</v>
      </c>
      <c r="B6" s="5"/>
      <c r="C6" s="5"/>
      <c r="D6" s="6" t="e">
        <f t="shared" si="0"/>
        <v>#DIV/0!</v>
      </c>
      <c r="E6" s="7"/>
      <c r="F6" s="7"/>
      <c r="G6" s="7"/>
      <c r="H6" s="7"/>
    </row>
    <row r="7" spans="1:8" ht="15.75" customHeight="1">
      <c r="A7" s="4">
        <v>6</v>
      </c>
      <c r="B7" s="5"/>
      <c r="C7" s="5"/>
      <c r="D7" s="6" t="e">
        <f t="shared" si="0"/>
        <v>#DIV/0!</v>
      </c>
      <c r="E7" s="7"/>
      <c r="F7" s="7"/>
      <c r="G7" s="7"/>
      <c r="H7" s="7"/>
    </row>
    <row r="8" spans="1:8" ht="15.75" customHeight="1">
      <c r="A8" s="4">
        <v>7</v>
      </c>
      <c r="B8" s="5"/>
      <c r="C8" s="5"/>
      <c r="D8" s="6" t="e">
        <f t="shared" si="0"/>
        <v>#DIV/0!</v>
      </c>
      <c r="E8" s="7"/>
      <c r="F8" s="7"/>
      <c r="G8" s="7"/>
      <c r="H8" s="7"/>
    </row>
    <row r="9" spans="1:8" ht="15.75" customHeight="1">
      <c r="A9" s="4">
        <v>8</v>
      </c>
      <c r="B9" s="5"/>
      <c r="C9" s="5"/>
      <c r="D9" s="6" t="e">
        <f t="shared" si="0"/>
        <v>#DIV/0!</v>
      </c>
      <c r="E9" s="7"/>
      <c r="F9" s="7"/>
      <c r="G9" s="7"/>
      <c r="H9" s="7"/>
    </row>
    <row r="10" spans="1:8" ht="15.75" customHeight="1">
      <c r="A10" s="4">
        <v>9</v>
      </c>
      <c r="B10" s="5"/>
      <c r="C10" s="5"/>
      <c r="D10" s="6" t="e">
        <f t="shared" si="0"/>
        <v>#DIV/0!</v>
      </c>
      <c r="E10" s="7"/>
      <c r="F10" s="7"/>
      <c r="G10" s="7"/>
      <c r="H10" s="7"/>
    </row>
    <row r="11" spans="1:8" ht="15.75" customHeight="1">
      <c r="A11" s="4">
        <v>10</v>
      </c>
      <c r="B11" s="5"/>
      <c r="C11" s="5"/>
      <c r="D11" s="6" t="e">
        <f t="shared" si="0"/>
        <v>#DIV/0!</v>
      </c>
      <c r="E11" s="7"/>
      <c r="F11" s="7"/>
      <c r="G11" s="7"/>
      <c r="H11" s="7"/>
    </row>
    <row r="12" spans="1:8" ht="15.75" customHeight="1">
      <c r="A12" s="8">
        <v>11</v>
      </c>
      <c r="B12" s="5"/>
      <c r="C12" s="5"/>
      <c r="D12" s="6" t="e">
        <f t="shared" si="0"/>
        <v>#DIV/0!</v>
      </c>
      <c r="E12" s="7"/>
      <c r="F12" s="7"/>
      <c r="G12" s="7"/>
      <c r="H12" s="7"/>
    </row>
    <row r="13" spans="1:8" ht="15.75" customHeight="1">
      <c r="A13" s="8">
        <v>12</v>
      </c>
      <c r="B13" s="5"/>
      <c r="C13" s="5"/>
      <c r="D13" s="6" t="e">
        <f t="shared" si="0"/>
        <v>#DIV/0!</v>
      </c>
      <c r="E13" s="7"/>
      <c r="F13" s="7"/>
      <c r="G13" s="7"/>
      <c r="H13" s="7"/>
    </row>
    <row r="14" spans="1:8" ht="15.75" customHeight="1">
      <c r="A14" s="8">
        <v>13</v>
      </c>
      <c r="B14" s="5"/>
      <c r="C14" s="5"/>
      <c r="D14" s="6" t="e">
        <f t="shared" si="0"/>
        <v>#DIV/0!</v>
      </c>
      <c r="E14" s="7"/>
      <c r="F14" s="7"/>
      <c r="G14" s="7"/>
      <c r="H14" s="7"/>
    </row>
    <row r="15" spans="1:8" ht="15.75" customHeight="1">
      <c r="A15" s="8">
        <v>14</v>
      </c>
      <c r="B15" s="5"/>
      <c r="C15" s="5"/>
      <c r="D15" s="6" t="e">
        <f t="shared" si="0"/>
        <v>#DIV/0!</v>
      </c>
      <c r="E15" s="7"/>
      <c r="F15" s="7"/>
      <c r="G15" s="7"/>
      <c r="H15" s="7"/>
    </row>
    <row r="16" spans="1:8" ht="15.75" customHeight="1">
      <c r="A16" s="8">
        <v>15</v>
      </c>
      <c r="B16" s="5"/>
      <c r="C16" s="5"/>
      <c r="D16" s="6" t="e">
        <f t="shared" si="0"/>
        <v>#DIV/0!</v>
      </c>
      <c r="E16" s="7"/>
      <c r="F16" s="7"/>
      <c r="G16" s="7"/>
      <c r="H16" s="7"/>
    </row>
    <row r="17" spans="1:8" ht="15.75" customHeight="1">
      <c r="A17" s="8">
        <v>16</v>
      </c>
      <c r="B17" s="5"/>
      <c r="C17" s="5"/>
      <c r="D17" s="6" t="e">
        <f t="shared" si="0"/>
        <v>#DIV/0!</v>
      </c>
      <c r="E17" s="7"/>
      <c r="F17" s="7"/>
      <c r="G17" s="7"/>
      <c r="H17" s="7"/>
    </row>
    <row r="18" spans="1:8" ht="15.75" customHeight="1">
      <c r="A18" s="8">
        <v>17</v>
      </c>
      <c r="B18" s="5"/>
      <c r="C18" s="5"/>
      <c r="D18" s="6" t="e">
        <f t="shared" si="0"/>
        <v>#DIV/0!</v>
      </c>
      <c r="E18" s="7"/>
      <c r="F18" s="7"/>
      <c r="G18" s="7"/>
      <c r="H18" s="7"/>
    </row>
    <row r="19" spans="1:8" ht="15.75" customHeight="1">
      <c r="A19" s="8">
        <v>18</v>
      </c>
      <c r="B19" s="5"/>
      <c r="C19" s="5"/>
      <c r="D19" s="6" t="e">
        <f t="shared" si="0"/>
        <v>#DIV/0!</v>
      </c>
      <c r="E19" s="7"/>
      <c r="F19" s="7"/>
      <c r="G19" s="7"/>
      <c r="H19" s="7"/>
    </row>
    <row r="20" spans="1:8" ht="15.75" customHeight="1">
      <c r="A20" s="8">
        <v>19</v>
      </c>
      <c r="B20" s="5"/>
      <c r="C20" s="5"/>
      <c r="D20" s="6" t="e">
        <f t="shared" si="0"/>
        <v>#DIV/0!</v>
      </c>
      <c r="E20" s="7"/>
      <c r="F20" s="7"/>
      <c r="G20" s="7"/>
      <c r="H20" s="7"/>
    </row>
    <row r="21" spans="1:8" ht="15.75" customHeight="1">
      <c r="A21" s="8">
        <v>20</v>
      </c>
      <c r="B21" s="5"/>
      <c r="C21" s="5"/>
      <c r="D21" s="6" t="e">
        <f t="shared" si="0"/>
        <v>#DIV/0!</v>
      </c>
      <c r="E21" s="7"/>
      <c r="F21" s="7"/>
      <c r="G21" s="7"/>
      <c r="H21" s="7"/>
    </row>
    <row r="22" spans="1:8" ht="15.75" customHeight="1">
      <c r="A22" s="8">
        <v>21</v>
      </c>
      <c r="B22" s="5"/>
      <c r="C22" s="5"/>
      <c r="D22" s="6" t="e">
        <f t="shared" si="0"/>
        <v>#DIV/0!</v>
      </c>
      <c r="E22" s="7"/>
      <c r="F22" s="7"/>
      <c r="G22" s="7"/>
      <c r="H22" s="7"/>
    </row>
    <row r="23" spans="1:8" ht="15.75" customHeight="1">
      <c r="A23" s="8">
        <v>22</v>
      </c>
      <c r="B23" s="5"/>
      <c r="C23" s="5"/>
      <c r="D23" s="6" t="e">
        <f t="shared" si="0"/>
        <v>#DIV/0!</v>
      </c>
      <c r="E23" s="7"/>
      <c r="F23" s="7"/>
      <c r="G23" s="7"/>
      <c r="H23" s="7"/>
    </row>
    <row r="24" spans="1:8" ht="15.75" customHeight="1">
      <c r="A24" s="8">
        <v>23</v>
      </c>
      <c r="B24" s="5"/>
      <c r="C24" s="5"/>
      <c r="D24" s="6" t="e">
        <f t="shared" si="0"/>
        <v>#DIV/0!</v>
      </c>
      <c r="E24" s="7"/>
      <c r="F24" s="7"/>
      <c r="G24" s="7"/>
      <c r="H24" s="7"/>
    </row>
    <row r="25" spans="1:8" ht="15.75" customHeight="1">
      <c r="A25" s="8">
        <v>24</v>
      </c>
      <c r="B25" s="5"/>
      <c r="C25" s="5"/>
      <c r="D25" s="6" t="e">
        <f t="shared" si="0"/>
        <v>#DIV/0!</v>
      </c>
      <c r="E25" s="7"/>
      <c r="F25" s="7"/>
      <c r="G25" s="7"/>
      <c r="H25" s="7"/>
    </row>
    <row r="26" spans="1:8" ht="15.75" customHeight="1">
      <c r="A26" s="8">
        <v>25</v>
      </c>
      <c r="B26" s="5"/>
      <c r="C26" s="5"/>
      <c r="D26" s="6" t="e">
        <f t="shared" si="0"/>
        <v>#DIV/0!</v>
      </c>
      <c r="E26" s="7"/>
      <c r="F26" s="7"/>
      <c r="G26" s="7"/>
      <c r="H26" s="7"/>
    </row>
    <row r="27" spans="1:8" ht="15.75" customHeight="1">
      <c r="A27" s="4" t="s">
        <v>10</v>
      </c>
      <c r="B27" s="5" t="e">
        <f t="shared" ref="B27:D27" si="1">AVERAGE(B2:B26)</f>
        <v>#DIV/0!</v>
      </c>
      <c r="C27" s="5" t="e">
        <f t="shared" si="1"/>
        <v>#DIV/0!</v>
      </c>
      <c r="D27" s="9" t="e">
        <f t="shared" si="1"/>
        <v>#DIV/0!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0</v>
      </c>
      <c r="C28" s="5">
        <f t="shared" si="2"/>
        <v>0</v>
      </c>
      <c r="D28" s="9" t="e">
        <f t="shared" si="2"/>
        <v>#DIV/0!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0</v>
      </c>
      <c r="C29" s="5">
        <f t="shared" si="3"/>
        <v>0</v>
      </c>
      <c r="D29" s="9" t="e">
        <f t="shared" si="3"/>
        <v>#DIV/0!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5"/>
      <c r="C33" s="5"/>
      <c r="D33" s="11"/>
      <c r="E33" s="5"/>
      <c r="F33" s="7"/>
      <c r="G33" s="7"/>
      <c r="H33" s="7"/>
    </row>
    <row r="34" spans="1:8" ht="15.75" customHeight="1">
      <c r="A34" s="4">
        <v>2</v>
      </c>
      <c r="B34" s="5"/>
      <c r="C34" s="5"/>
      <c r="D34" s="11"/>
      <c r="E34" s="5"/>
      <c r="F34" s="7"/>
      <c r="G34" s="7"/>
      <c r="H34" s="7"/>
    </row>
    <row r="35" spans="1:8" ht="15.75" customHeight="1">
      <c r="A35" s="4">
        <v>3</v>
      </c>
      <c r="B35" s="5"/>
      <c r="C35" s="5"/>
      <c r="D35" s="11"/>
      <c r="E35" s="7"/>
      <c r="F35" s="7"/>
      <c r="G35" s="7"/>
      <c r="H35" s="7"/>
    </row>
    <row r="36" spans="1:8" ht="15.75" customHeight="1">
      <c r="A36" s="4">
        <v>4</v>
      </c>
      <c r="B36" s="5"/>
      <c r="C36" s="5"/>
      <c r="D36" s="11"/>
      <c r="E36" s="5"/>
      <c r="F36" s="7"/>
      <c r="G36" s="7"/>
      <c r="H36" s="7"/>
    </row>
    <row r="37" spans="1:8" ht="15.75" customHeight="1">
      <c r="A37" s="4">
        <v>5</v>
      </c>
      <c r="B37" s="5"/>
      <c r="C37" s="5"/>
      <c r="D37" s="11"/>
      <c r="E37" s="5"/>
      <c r="F37" s="7"/>
      <c r="G37" s="7"/>
      <c r="H37" s="7"/>
    </row>
    <row r="38" spans="1:8" ht="15.75" customHeight="1">
      <c r="A38" s="4">
        <v>6</v>
      </c>
      <c r="B38" s="5"/>
      <c r="C38" s="5"/>
      <c r="D38" s="11"/>
      <c r="E38" s="5"/>
      <c r="F38" s="7"/>
      <c r="G38" s="7"/>
      <c r="H38" s="7"/>
    </row>
    <row r="39" spans="1:8" ht="15.75" customHeight="1">
      <c r="A39" s="4">
        <v>7</v>
      </c>
      <c r="B39" s="5"/>
      <c r="C39" s="5"/>
      <c r="D39" s="11"/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 t="e">
        <f t="shared" ref="B58:C58" si="4">AVERAGE(B33:B57)</f>
        <v>#DIV/0!</v>
      </c>
      <c r="C58" s="5" t="e">
        <f t="shared" si="4"/>
        <v>#DIV/0!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0</v>
      </c>
      <c r="C59" s="5">
        <f t="shared" si="5"/>
        <v>0</v>
      </c>
      <c r="D59" s="11">
        <f t="shared" si="5"/>
        <v>0</v>
      </c>
      <c r="E59" s="7"/>
      <c r="F59" s="7"/>
      <c r="G59" s="7"/>
      <c r="H59" s="7"/>
    </row>
    <row r="60" spans="1:8" ht="14">
      <c r="A60" s="4" t="s">
        <v>12</v>
      </c>
      <c r="B60" s="5" t="e">
        <f t="shared" ref="B60:D60" si="6">MAX(B34:B58)</f>
        <v>#DIV/0!</v>
      </c>
      <c r="C60" s="5" t="e">
        <f t="shared" si="6"/>
        <v>#DIV/0!</v>
      </c>
      <c r="D60" s="11">
        <f t="shared" si="6"/>
        <v>0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1006"/>
  <sheetViews>
    <sheetView workbookViewId="0"/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5"/>
      <c r="C2" s="5"/>
      <c r="D2" s="6" t="e">
        <f t="shared" ref="D2:D26" si="0">B2/C2</f>
        <v>#DIV/0!</v>
      </c>
      <c r="E2" s="7"/>
      <c r="F2" s="7"/>
      <c r="G2" s="7"/>
      <c r="H2" s="7"/>
    </row>
    <row r="3" spans="1:8" ht="15.75" customHeight="1">
      <c r="A3" s="4">
        <v>2</v>
      </c>
      <c r="B3" s="5"/>
      <c r="C3" s="5"/>
      <c r="D3" s="6" t="e">
        <f t="shared" si="0"/>
        <v>#DIV/0!</v>
      </c>
      <c r="E3" s="7"/>
      <c r="F3" s="7"/>
      <c r="G3" s="7"/>
      <c r="H3" s="7"/>
    </row>
    <row r="4" spans="1:8" ht="15.75" customHeight="1">
      <c r="A4" s="4">
        <v>3</v>
      </c>
      <c r="B4" s="5"/>
      <c r="C4" s="5"/>
      <c r="D4" s="6" t="e">
        <f t="shared" si="0"/>
        <v>#DIV/0!</v>
      </c>
      <c r="E4" s="7"/>
      <c r="F4" s="7"/>
      <c r="G4" s="7"/>
      <c r="H4" s="7"/>
    </row>
    <row r="5" spans="1:8" ht="15.75" customHeight="1">
      <c r="A5" s="4">
        <v>4</v>
      </c>
      <c r="B5" s="5"/>
      <c r="C5" s="5"/>
      <c r="D5" s="6" t="e">
        <f t="shared" si="0"/>
        <v>#DIV/0!</v>
      </c>
      <c r="E5" s="7"/>
      <c r="F5" s="7"/>
      <c r="G5" s="7"/>
      <c r="H5" s="7"/>
    </row>
    <row r="6" spans="1:8" ht="15.75" customHeight="1">
      <c r="A6" s="4">
        <v>5</v>
      </c>
      <c r="B6" s="5"/>
      <c r="C6" s="5"/>
      <c r="D6" s="6" t="e">
        <f t="shared" si="0"/>
        <v>#DIV/0!</v>
      </c>
      <c r="E6" s="7"/>
      <c r="F6" s="7"/>
      <c r="G6" s="7"/>
      <c r="H6" s="7"/>
    </row>
    <row r="7" spans="1:8" ht="15.75" customHeight="1">
      <c r="A7" s="4">
        <v>6</v>
      </c>
      <c r="B7" s="5"/>
      <c r="C7" s="5"/>
      <c r="D7" s="6" t="e">
        <f t="shared" si="0"/>
        <v>#DIV/0!</v>
      </c>
      <c r="E7" s="7"/>
      <c r="F7" s="7"/>
      <c r="G7" s="7"/>
      <c r="H7" s="7"/>
    </row>
    <row r="8" spans="1:8" ht="15.75" customHeight="1">
      <c r="A8" s="4">
        <v>7</v>
      </c>
      <c r="B8" s="5"/>
      <c r="C8" s="5"/>
      <c r="D8" s="6" t="e">
        <f t="shared" si="0"/>
        <v>#DIV/0!</v>
      </c>
      <c r="E8" s="7"/>
      <c r="F8" s="7"/>
      <c r="G8" s="7"/>
      <c r="H8" s="7"/>
    </row>
    <row r="9" spans="1:8" ht="15.75" customHeight="1">
      <c r="A9" s="4">
        <v>8</v>
      </c>
      <c r="B9" s="5"/>
      <c r="C9" s="5"/>
      <c r="D9" s="6" t="e">
        <f t="shared" si="0"/>
        <v>#DIV/0!</v>
      </c>
      <c r="E9" s="7"/>
      <c r="F9" s="7"/>
      <c r="G9" s="7"/>
      <c r="H9" s="7"/>
    </row>
    <row r="10" spans="1:8" ht="15.75" customHeight="1">
      <c r="A10" s="4">
        <v>9</v>
      </c>
      <c r="B10" s="5"/>
      <c r="C10" s="5"/>
      <c r="D10" s="6" t="e">
        <f t="shared" si="0"/>
        <v>#DIV/0!</v>
      </c>
      <c r="E10" s="7"/>
      <c r="F10" s="7"/>
      <c r="G10" s="7"/>
      <c r="H10" s="7"/>
    </row>
    <row r="11" spans="1:8" ht="15.75" customHeight="1">
      <c r="A11" s="4">
        <v>10</v>
      </c>
      <c r="B11" s="5"/>
      <c r="C11" s="5"/>
      <c r="D11" s="6" t="e">
        <f t="shared" si="0"/>
        <v>#DIV/0!</v>
      </c>
      <c r="E11" s="7"/>
      <c r="F11" s="7"/>
      <c r="G11" s="7"/>
      <c r="H11" s="7"/>
    </row>
    <row r="12" spans="1:8" ht="15.75" customHeight="1">
      <c r="A12" s="8">
        <v>11</v>
      </c>
      <c r="B12" s="5"/>
      <c r="C12" s="5"/>
      <c r="D12" s="6" t="e">
        <f t="shared" si="0"/>
        <v>#DIV/0!</v>
      </c>
      <c r="E12" s="7"/>
      <c r="F12" s="7"/>
      <c r="G12" s="7"/>
      <c r="H12" s="7"/>
    </row>
    <row r="13" spans="1:8" ht="15.75" customHeight="1">
      <c r="A13" s="8">
        <v>12</v>
      </c>
      <c r="B13" s="5"/>
      <c r="C13" s="5"/>
      <c r="D13" s="6" t="e">
        <f t="shared" si="0"/>
        <v>#DIV/0!</v>
      </c>
      <c r="E13" s="7"/>
      <c r="F13" s="7"/>
      <c r="G13" s="7"/>
      <c r="H13" s="7"/>
    </row>
    <row r="14" spans="1:8" ht="15.75" customHeight="1">
      <c r="A14" s="8">
        <v>13</v>
      </c>
      <c r="B14" s="5"/>
      <c r="C14" s="5"/>
      <c r="D14" s="6" t="e">
        <f t="shared" si="0"/>
        <v>#DIV/0!</v>
      </c>
      <c r="E14" s="7"/>
      <c r="F14" s="7"/>
      <c r="G14" s="7"/>
      <c r="H14" s="7"/>
    </row>
    <row r="15" spans="1:8" ht="15.75" customHeight="1">
      <c r="A15" s="8">
        <v>14</v>
      </c>
      <c r="B15" s="5"/>
      <c r="C15" s="5"/>
      <c r="D15" s="6" t="e">
        <f t="shared" si="0"/>
        <v>#DIV/0!</v>
      </c>
      <c r="E15" s="7"/>
      <c r="F15" s="7"/>
      <c r="G15" s="7"/>
      <c r="H15" s="7"/>
    </row>
    <row r="16" spans="1:8" ht="15.75" customHeight="1">
      <c r="A16" s="8">
        <v>15</v>
      </c>
      <c r="B16" s="5"/>
      <c r="C16" s="5"/>
      <c r="D16" s="6" t="e">
        <f t="shared" si="0"/>
        <v>#DIV/0!</v>
      </c>
      <c r="E16" s="7"/>
      <c r="F16" s="7"/>
      <c r="G16" s="7"/>
      <c r="H16" s="7"/>
    </row>
    <row r="17" spans="1:8" ht="15.75" customHeight="1">
      <c r="A17" s="8">
        <v>16</v>
      </c>
      <c r="B17" s="5"/>
      <c r="C17" s="5"/>
      <c r="D17" s="6" t="e">
        <f t="shared" si="0"/>
        <v>#DIV/0!</v>
      </c>
      <c r="E17" s="7"/>
      <c r="F17" s="7"/>
      <c r="G17" s="7"/>
      <c r="H17" s="7"/>
    </row>
    <row r="18" spans="1:8" ht="15.75" customHeight="1">
      <c r="A18" s="8">
        <v>17</v>
      </c>
      <c r="B18" s="5"/>
      <c r="C18" s="5"/>
      <c r="D18" s="6" t="e">
        <f t="shared" si="0"/>
        <v>#DIV/0!</v>
      </c>
      <c r="E18" s="7"/>
      <c r="F18" s="7"/>
      <c r="G18" s="7"/>
      <c r="H18" s="7"/>
    </row>
    <row r="19" spans="1:8" ht="15.75" customHeight="1">
      <c r="A19" s="8">
        <v>18</v>
      </c>
      <c r="B19" s="5"/>
      <c r="C19" s="5"/>
      <c r="D19" s="6" t="e">
        <f t="shared" si="0"/>
        <v>#DIV/0!</v>
      </c>
      <c r="E19" s="7"/>
      <c r="F19" s="7"/>
      <c r="G19" s="7"/>
      <c r="H19" s="7"/>
    </row>
    <row r="20" spans="1:8" ht="15.75" customHeight="1">
      <c r="A20" s="8">
        <v>19</v>
      </c>
      <c r="B20" s="5"/>
      <c r="C20" s="5"/>
      <c r="D20" s="6" t="e">
        <f t="shared" si="0"/>
        <v>#DIV/0!</v>
      </c>
      <c r="E20" s="7"/>
      <c r="F20" s="7"/>
      <c r="G20" s="7"/>
      <c r="H20" s="7"/>
    </row>
    <row r="21" spans="1:8" ht="15.75" customHeight="1">
      <c r="A21" s="8">
        <v>20</v>
      </c>
      <c r="B21" s="5"/>
      <c r="C21" s="5"/>
      <c r="D21" s="6" t="e">
        <f t="shared" si="0"/>
        <v>#DIV/0!</v>
      </c>
      <c r="E21" s="7"/>
      <c r="F21" s="7"/>
      <c r="G21" s="7"/>
      <c r="H21" s="7"/>
    </row>
    <row r="22" spans="1:8" ht="15.75" customHeight="1">
      <c r="A22" s="8">
        <v>21</v>
      </c>
      <c r="B22" s="5"/>
      <c r="C22" s="5"/>
      <c r="D22" s="6" t="e">
        <f t="shared" si="0"/>
        <v>#DIV/0!</v>
      </c>
      <c r="E22" s="7"/>
      <c r="F22" s="7"/>
      <c r="G22" s="7"/>
      <c r="H22" s="7"/>
    </row>
    <row r="23" spans="1:8" ht="15.75" customHeight="1">
      <c r="A23" s="8">
        <v>22</v>
      </c>
      <c r="B23" s="5"/>
      <c r="C23" s="5"/>
      <c r="D23" s="6" t="e">
        <f t="shared" si="0"/>
        <v>#DIV/0!</v>
      </c>
      <c r="E23" s="7"/>
      <c r="F23" s="7"/>
      <c r="G23" s="7"/>
      <c r="H23" s="7"/>
    </row>
    <row r="24" spans="1:8" ht="15.75" customHeight="1">
      <c r="A24" s="8">
        <v>23</v>
      </c>
      <c r="B24" s="5"/>
      <c r="C24" s="5"/>
      <c r="D24" s="6" t="e">
        <f t="shared" si="0"/>
        <v>#DIV/0!</v>
      </c>
      <c r="E24" s="7"/>
      <c r="F24" s="7"/>
      <c r="G24" s="7"/>
      <c r="H24" s="7"/>
    </row>
    <row r="25" spans="1:8" ht="15.75" customHeight="1">
      <c r="A25" s="8">
        <v>24</v>
      </c>
      <c r="B25" s="5"/>
      <c r="C25" s="5"/>
      <c r="D25" s="6" t="e">
        <f t="shared" si="0"/>
        <v>#DIV/0!</v>
      </c>
      <c r="E25" s="7"/>
      <c r="F25" s="7"/>
      <c r="G25" s="7"/>
      <c r="H25" s="7"/>
    </row>
    <row r="26" spans="1:8" ht="15.75" customHeight="1">
      <c r="A26" s="8">
        <v>25</v>
      </c>
      <c r="B26" s="5"/>
      <c r="C26" s="5"/>
      <c r="D26" s="6" t="e">
        <f t="shared" si="0"/>
        <v>#DIV/0!</v>
      </c>
      <c r="E26" s="7"/>
      <c r="F26" s="7"/>
      <c r="G26" s="7"/>
      <c r="H26" s="7"/>
    </row>
    <row r="27" spans="1:8" ht="15.75" customHeight="1">
      <c r="A27" s="4" t="s">
        <v>10</v>
      </c>
      <c r="B27" s="5" t="e">
        <f t="shared" ref="B27:D27" si="1">AVERAGE(B2:B26)</f>
        <v>#DIV/0!</v>
      </c>
      <c r="C27" s="5" t="e">
        <f t="shared" si="1"/>
        <v>#DIV/0!</v>
      </c>
      <c r="D27" s="9" t="e">
        <f t="shared" si="1"/>
        <v>#DIV/0!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0</v>
      </c>
      <c r="C28" s="5">
        <f t="shared" si="2"/>
        <v>0</v>
      </c>
      <c r="D28" s="9" t="e">
        <f t="shared" si="2"/>
        <v>#DIV/0!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0</v>
      </c>
      <c r="C29" s="5">
        <f t="shared" si="3"/>
        <v>0</v>
      </c>
      <c r="D29" s="9" t="e">
        <f t="shared" si="3"/>
        <v>#DIV/0!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5"/>
      <c r="C33" s="5"/>
      <c r="D33" s="11"/>
      <c r="E33" s="5"/>
      <c r="F33" s="7"/>
      <c r="G33" s="7"/>
      <c r="H33" s="7"/>
    </row>
    <row r="34" spans="1:8" ht="15.75" customHeight="1">
      <c r="A34" s="4">
        <v>2</v>
      </c>
      <c r="B34" s="5"/>
      <c r="C34" s="5"/>
      <c r="D34" s="11"/>
      <c r="E34" s="5"/>
      <c r="F34" s="7"/>
      <c r="G34" s="7"/>
      <c r="H34" s="7"/>
    </row>
    <row r="35" spans="1:8" ht="15.75" customHeight="1">
      <c r="A35" s="4">
        <v>3</v>
      </c>
      <c r="B35" s="5"/>
      <c r="C35" s="5"/>
      <c r="D35" s="11"/>
      <c r="E35" s="7"/>
      <c r="F35" s="7"/>
      <c r="G35" s="7"/>
      <c r="H35" s="7"/>
    </row>
    <row r="36" spans="1:8" ht="15.75" customHeight="1">
      <c r="A36" s="4">
        <v>4</v>
      </c>
      <c r="B36" s="5"/>
      <c r="C36" s="5"/>
      <c r="D36" s="11"/>
      <c r="E36" s="5"/>
      <c r="F36" s="7"/>
      <c r="G36" s="7"/>
      <c r="H36" s="7"/>
    </row>
    <row r="37" spans="1:8" ht="15.75" customHeight="1">
      <c r="A37" s="4">
        <v>5</v>
      </c>
      <c r="B37" s="5"/>
      <c r="C37" s="5"/>
      <c r="D37" s="11"/>
      <c r="E37" s="5"/>
      <c r="F37" s="7"/>
      <c r="G37" s="7"/>
      <c r="H37" s="7"/>
    </row>
    <row r="38" spans="1:8" ht="15.75" customHeight="1">
      <c r="A38" s="4">
        <v>6</v>
      </c>
      <c r="B38" s="5"/>
      <c r="C38" s="5"/>
      <c r="D38" s="11"/>
      <c r="E38" s="5"/>
      <c r="F38" s="7"/>
      <c r="G38" s="7"/>
      <c r="H38" s="7"/>
    </row>
    <row r="39" spans="1:8" ht="15.75" customHeight="1">
      <c r="A39" s="4">
        <v>7</v>
      </c>
      <c r="B39" s="5"/>
      <c r="C39" s="5"/>
      <c r="D39" s="11"/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 t="e">
        <f t="shared" ref="B58:C58" si="4">AVERAGE(B33:B57)</f>
        <v>#DIV/0!</v>
      </c>
      <c r="C58" s="5" t="e">
        <f t="shared" si="4"/>
        <v>#DIV/0!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0</v>
      </c>
      <c r="C59" s="5">
        <f t="shared" si="5"/>
        <v>0</v>
      </c>
      <c r="D59" s="11">
        <f t="shared" si="5"/>
        <v>0</v>
      </c>
      <c r="E59" s="7"/>
      <c r="F59" s="7"/>
      <c r="G59" s="7"/>
      <c r="H59" s="7"/>
    </row>
    <row r="60" spans="1:8" ht="14">
      <c r="A60" s="4" t="s">
        <v>12</v>
      </c>
      <c r="B60" s="5" t="e">
        <f t="shared" ref="B60:D60" si="6">MAX(B34:B58)</f>
        <v>#DIV/0!</v>
      </c>
      <c r="C60" s="5" t="e">
        <f t="shared" si="6"/>
        <v>#DIV/0!</v>
      </c>
      <c r="D60" s="11">
        <f t="shared" si="6"/>
        <v>0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1006"/>
  <sheetViews>
    <sheetView workbookViewId="0"/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5"/>
      <c r="C2" s="5"/>
      <c r="D2" s="6" t="e">
        <f t="shared" ref="D2:D26" si="0">B2/C2</f>
        <v>#DIV/0!</v>
      </c>
      <c r="E2" s="7"/>
      <c r="F2" s="7"/>
      <c r="G2" s="7"/>
      <c r="H2" s="7"/>
    </row>
    <row r="3" spans="1:8" ht="15.75" customHeight="1">
      <c r="A3" s="4">
        <v>2</v>
      </c>
      <c r="B3" s="5"/>
      <c r="C3" s="5"/>
      <c r="D3" s="6" t="e">
        <f t="shared" si="0"/>
        <v>#DIV/0!</v>
      </c>
      <c r="E3" s="7"/>
      <c r="F3" s="7"/>
      <c r="G3" s="7"/>
      <c r="H3" s="7"/>
    </row>
    <row r="4" spans="1:8" ht="15.75" customHeight="1">
      <c r="A4" s="4">
        <v>3</v>
      </c>
      <c r="B4" s="5"/>
      <c r="C4" s="5"/>
      <c r="D4" s="6" t="e">
        <f t="shared" si="0"/>
        <v>#DIV/0!</v>
      </c>
      <c r="E4" s="7"/>
      <c r="F4" s="7"/>
      <c r="G4" s="7"/>
      <c r="H4" s="7"/>
    </row>
    <row r="5" spans="1:8" ht="15.75" customHeight="1">
      <c r="A5" s="4">
        <v>4</v>
      </c>
      <c r="B5" s="5"/>
      <c r="C5" s="5"/>
      <c r="D5" s="6" t="e">
        <f t="shared" si="0"/>
        <v>#DIV/0!</v>
      </c>
      <c r="E5" s="7"/>
      <c r="F5" s="7"/>
      <c r="G5" s="7"/>
      <c r="H5" s="7"/>
    </row>
    <row r="6" spans="1:8" ht="15.75" customHeight="1">
      <c r="A6" s="4">
        <v>5</v>
      </c>
      <c r="B6" s="5"/>
      <c r="C6" s="5"/>
      <c r="D6" s="6" t="e">
        <f t="shared" si="0"/>
        <v>#DIV/0!</v>
      </c>
      <c r="E6" s="7"/>
      <c r="F6" s="7"/>
      <c r="G6" s="7"/>
      <c r="H6" s="7"/>
    </row>
    <row r="7" spans="1:8" ht="15.75" customHeight="1">
      <c r="A7" s="4">
        <v>6</v>
      </c>
      <c r="B7" s="5"/>
      <c r="C7" s="5"/>
      <c r="D7" s="6" t="e">
        <f t="shared" si="0"/>
        <v>#DIV/0!</v>
      </c>
      <c r="E7" s="7"/>
      <c r="F7" s="7"/>
      <c r="G7" s="7"/>
      <c r="H7" s="7"/>
    </row>
    <row r="8" spans="1:8" ht="15.75" customHeight="1">
      <c r="A8" s="4">
        <v>7</v>
      </c>
      <c r="B8" s="5"/>
      <c r="C8" s="5"/>
      <c r="D8" s="6" t="e">
        <f t="shared" si="0"/>
        <v>#DIV/0!</v>
      </c>
      <c r="E8" s="7"/>
      <c r="F8" s="7"/>
      <c r="G8" s="7"/>
      <c r="H8" s="7"/>
    </row>
    <row r="9" spans="1:8" ht="15.75" customHeight="1">
      <c r="A9" s="4">
        <v>8</v>
      </c>
      <c r="B9" s="5"/>
      <c r="C9" s="5"/>
      <c r="D9" s="6" t="e">
        <f t="shared" si="0"/>
        <v>#DIV/0!</v>
      </c>
      <c r="E9" s="7"/>
      <c r="F9" s="7"/>
      <c r="G9" s="7"/>
      <c r="H9" s="7"/>
    </row>
    <row r="10" spans="1:8" ht="15.75" customHeight="1">
      <c r="A10" s="4">
        <v>9</v>
      </c>
      <c r="B10" s="5"/>
      <c r="C10" s="5"/>
      <c r="D10" s="6" t="e">
        <f t="shared" si="0"/>
        <v>#DIV/0!</v>
      </c>
      <c r="E10" s="7"/>
      <c r="F10" s="7"/>
      <c r="G10" s="7"/>
      <c r="H10" s="7"/>
    </row>
    <row r="11" spans="1:8" ht="15.75" customHeight="1">
      <c r="A11" s="4">
        <v>10</v>
      </c>
      <c r="B11" s="5"/>
      <c r="C11" s="5"/>
      <c r="D11" s="6" t="e">
        <f t="shared" si="0"/>
        <v>#DIV/0!</v>
      </c>
      <c r="E11" s="7"/>
      <c r="F11" s="7"/>
      <c r="G11" s="7"/>
      <c r="H11" s="7"/>
    </row>
    <row r="12" spans="1:8" ht="15.75" customHeight="1">
      <c r="A12" s="8">
        <v>11</v>
      </c>
      <c r="B12" s="5"/>
      <c r="C12" s="5"/>
      <c r="D12" s="6" t="e">
        <f t="shared" si="0"/>
        <v>#DIV/0!</v>
      </c>
      <c r="E12" s="7"/>
      <c r="F12" s="7"/>
      <c r="G12" s="7"/>
      <c r="H12" s="7"/>
    </row>
    <row r="13" spans="1:8" ht="15.75" customHeight="1">
      <c r="A13" s="8">
        <v>12</v>
      </c>
      <c r="B13" s="5"/>
      <c r="C13" s="5"/>
      <c r="D13" s="6" t="e">
        <f t="shared" si="0"/>
        <v>#DIV/0!</v>
      </c>
      <c r="E13" s="7"/>
      <c r="F13" s="7"/>
      <c r="G13" s="7"/>
      <c r="H13" s="7"/>
    </row>
    <row r="14" spans="1:8" ht="15.75" customHeight="1">
      <c r="A14" s="8">
        <v>13</v>
      </c>
      <c r="B14" s="5"/>
      <c r="C14" s="5"/>
      <c r="D14" s="6" t="e">
        <f t="shared" si="0"/>
        <v>#DIV/0!</v>
      </c>
      <c r="E14" s="7"/>
      <c r="F14" s="7"/>
      <c r="G14" s="7"/>
      <c r="H14" s="7"/>
    </row>
    <row r="15" spans="1:8" ht="15.75" customHeight="1">
      <c r="A15" s="8">
        <v>14</v>
      </c>
      <c r="B15" s="5"/>
      <c r="C15" s="5"/>
      <c r="D15" s="6" t="e">
        <f t="shared" si="0"/>
        <v>#DIV/0!</v>
      </c>
      <c r="E15" s="7"/>
      <c r="F15" s="7"/>
      <c r="G15" s="7"/>
      <c r="H15" s="7"/>
    </row>
    <row r="16" spans="1:8" ht="15.75" customHeight="1">
      <c r="A16" s="8">
        <v>15</v>
      </c>
      <c r="B16" s="5"/>
      <c r="C16" s="5"/>
      <c r="D16" s="6" t="e">
        <f t="shared" si="0"/>
        <v>#DIV/0!</v>
      </c>
      <c r="E16" s="7"/>
      <c r="F16" s="7"/>
      <c r="G16" s="7"/>
      <c r="H16" s="7"/>
    </row>
    <row r="17" spans="1:8" ht="15.75" customHeight="1">
      <c r="A17" s="8">
        <v>16</v>
      </c>
      <c r="B17" s="5"/>
      <c r="C17" s="5"/>
      <c r="D17" s="6" t="e">
        <f t="shared" si="0"/>
        <v>#DIV/0!</v>
      </c>
      <c r="E17" s="7"/>
      <c r="F17" s="7"/>
      <c r="G17" s="7"/>
      <c r="H17" s="7"/>
    </row>
    <row r="18" spans="1:8" ht="15.75" customHeight="1">
      <c r="A18" s="8">
        <v>17</v>
      </c>
      <c r="B18" s="5"/>
      <c r="C18" s="5"/>
      <c r="D18" s="6" t="e">
        <f t="shared" si="0"/>
        <v>#DIV/0!</v>
      </c>
      <c r="E18" s="7"/>
      <c r="F18" s="7"/>
      <c r="G18" s="7"/>
      <c r="H18" s="7"/>
    </row>
    <row r="19" spans="1:8" ht="15.75" customHeight="1">
      <c r="A19" s="8">
        <v>18</v>
      </c>
      <c r="B19" s="5"/>
      <c r="C19" s="5"/>
      <c r="D19" s="6" t="e">
        <f t="shared" si="0"/>
        <v>#DIV/0!</v>
      </c>
      <c r="E19" s="7"/>
      <c r="F19" s="7"/>
      <c r="G19" s="7"/>
      <c r="H19" s="7"/>
    </row>
    <row r="20" spans="1:8" ht="15.75" customHeight="1">
      <c r="A20" s="8">
        <v>19</v>
      </c>
      <c r="B20" s="5"/>
      <c r="C20" s="5"/>
      <c r="D20" s="6" t="e">
        <f t="shared" si="0"/>
        <v>#DIV/0!</v>
      </c>
      <c r="E20" s="7"/>
      <c r="F20" s="7"/>
      <c r="G20" s="7"/>
      <c r="H20" s="7"/>
    </row>
    <row r="21" spans="1:8" ht="15.75" customHeight="1">
      <c r="A21" s="8">
        <v>20</v>
      </c>
      <c r="B21" s="5"/>
      <c r="C21" s="5"/>
      <c r="D21" s="6" t="e">
        <f t="shared" si="0"/>
        <v>#DIV/0!</v>
      </c>
      <c r="E21" s="7"/>
      <c r="F21" s="7"/>
      <c r="G21" s="7"/>
      <c r="H21" s="7"/>
    </row>
    <row r="22" spans="1:8" ht="15.75" customHeight="1">
      <c r="A22" s="8">
        <v>21</v>
      </c>
      <c r="B22" s="5"/>
      <c r="C22" s="5"/>
      <c r="D22" s="6" t="e">
        <f t="shared" si="0"/>
        <v>#DIV/0!</v>
      </c>
      <c r="E22" s="7"/>
      <c r="F22" s="7"/>
      <c r="G22" s="7"/>
      <c r="H22" s="7"/>
    </row>
    <row r="23" spans="1:8" ht="15.75" customHeight="1">
      <c r="A23" s="8">
        <v>22</v>
      </c>
      <c r="B23" s="5"/>
      <c r="C23" s="5"/>
      <c r="D23" s="6" t="e">
        <f t="shared" si="0"/>
        <v>#DIV/0!</v>
      </c>
      <c r="E23" s="7"/>
      <c r="F23" s="7"/>
      <c r="G23" s="7"/>
      <c r="H23" s="7"/>
    </row>
    <row r="24" spans="1:8" ht="15.75" customHeight="1">
      <c r="A24" s="8">
        <v>23</v>
      </c>
      <c r="B24" s="5"/>
      <c r="C24" s="5"/>
      <c r="D24" s="6" t="e">
        <f t="shared" si="0"/>
        <v>#DIV/0!</v>
      </c>
      <c r="E24" s="7"/>
      <c r="F24" s="7"/>
      <c r="G24" s="7"/>
      <c r="H24" s="7"/>
    </row>
    <row r="25" spans="1:8" ht="15.75" customHeight="1">
      <c r="A25" s="8">
        <v>24</v>
      </c>
      <c r="B25" s="5"/>
      <c r="C25" s="5"/>
      <c r="D25" s="6" t="e">
        <f t="shared" si="0"/>
        <v>#DIV/0!</v>
      </c>
      <c r="E25" s="7"/>
      <c r="F25" s="7"/>
      <c r="G25" s="7"/>
      <c r="H25" s="7"/>
    </row>
    <row r="26" spans="1:8" ht="15.75" customHeight="1">
      <c r="A26" s="8">
        <v>25</v>
      </c>
      <c r="B26" s="5"/>
      <c r="C26" s="5"/>
      <c r="D26" s="6" t="e">
        <f t="shared" si="0"/>
        <v>#DIV/0!</v>
      </c>
      <c r="E26" s="7"/>
      <c r="F26" s="7"/>
      <c r="G26" s="7"/>
      <c r="H26" s="7"/>
    </row>
    <row r="27" spans="1:8" ht="15.75" customHeight="1">
      <c r="A27" s="4" t="s">
        <v>10</v>
      </c>
      <c r="B27" s="5" t="e">
        <f t="shared" ref="B27:D27" si="1">AVERAGE(B2:B26)</f>
        <v>#DIV/0!</v>
      </c>
      <c r="C27" s="5" t="e">
        <f t="shared" si="1"/>
        <v>#DIV/0!</v>
      </c>
      <c r="D27" s="9" t="e">
        <f t="shared" si="1"/>
        <v>#DIV/0!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0</v>
      </c>
      <c r="C28" s="5">
        <f t="shared" si="2"/>
        <v>0</v>
      </c>
      <c r="D28" s="9" t="e">
        <f t="shared" si="2"/>
        <v>#DIV/0!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0</v>
      </c>
      <c r="C29" s="5">
        <f t="shared" si="3"/>
        <v>0</v>
      </c>
      <c r="D29" s="9" t="e">
        <f t="shared" si="3"/>
        <v>#DIV/0!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5"/>
      <c r="C33" s="5"/>
      <c r="D33" s="11"/>
      <c r="E33" s="5"/>
      <c r="F33" s="7"/>
      <c r="G33" s="7"/>
      <c r="H33" s="7"/>
    </row>
    <row r="34" spans="1:8" ht="15.75" customHeight="1">
      <c r="A34" s="4">
        <v>2</v>
      </c>
      <c r="B34" s="5"/>
      <c r="C34" s="5"/>
      <c r="D34" s="11"/>
      <c r="E34" s="5"/>
      <c r="F34" s="7"/>
      <c r="G34" s="7"/>
      <c r="H34" s="7"/>
    </row>
    <row r="35" spans="1:8" ht="15.75" customHeight="1">
      <c r="A35" s="4">
        <v>3</v>
      </c>
      <c r="B35" s="5"/>
      <c r="C35" s="5"/>
      <c r="D35" s="11"/>
      <c r="E35" s="7"/>
      <c r="F35" s="7"/>
      <c r="G35" s="7"/>
      <c r="H35" s="7"/>
    </row>
    <row r="36" spans="1:8" ht="15.75" customHeight="1">
      <c r="A36" s="4">
        <v>4</v>
      </c>
      <c r="B36" s="5"/>
      <c r="C36" s="5"/>
      <c r="D36" s="11"/>
      <c r="E36" s="5"/>
      <c r="F36" s="7"/>
      <c r="G36" s="7"/>
      <c r="H36" s="7"/>
    </row>
    <row r="37" spans="1:8" ht="15.75" customHeight="1">
      <c r="A37" s="4">
        <v>5</v>
      </c>
      <c r="B37" s="5"/>
      <c r="C37" s="5"/>
      <c r="D37" s="11"/>
      <c r="E37" s="5"/>
      <c r="F37" s="7"/>
      <c r="G37" s="7"/>
      <c r="H37" s="7"/>
    </row>
    <row r="38" spans="1:8" ht="15.75" customHeight="1">
      <c r="A38" s="4">
        <v>6</v>
      </c>
      <c r="B38" s="5"/>
      <c r="C38" s="5"/>
      <c r="D38" s="11"/>
      <c r="E38" s="5"/>
      <c r="F38" s="7"/>
      <c r="G38" s="7"/>
      <c r="H38" s="7"/>
    </row>
    <row r="39" spans="1:8" ht="15.75" customHeight="1">
      <c r="A39" s="4">
        <v>7</v>
      </c>
      <c r="B39" s="5"/>
      <c r="C39" s="5"/>
      <c r="D39" s="11"/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 t="e">
        <f t="shared" ref="B58:C58" si="4">AVERAGE(B33:B57)</f>
        <v>#DIV/0!</v>
      </c>
      <c r="C58" s="5" t="e">
        <f t="shared" si="4"/>
        <v>#DIV/0!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0</v>
      </c>
      <c r="C59" s="5">
        <f t="shared" si="5"/>
        <v>0</v>
      </c>
      <c r="D59" s="11">
        <f t="shared" si="5"/>
        <v>0</v>
      </c>
      <c r="E59" s="7"/>
      <c r="F59" s="7"/>
      <c r="G59" s="7"/>
      <c r="H59" s="7"/>
    </row>
    <row r="60" spans="1:8" ht="14">
      <c r="A60" s="4" t="s">
        <v>12</v>
      </c>
      <c r="B60" s="5" t="e">
        <f t="shared" ref="B60:D60" si="6">MAX(B34:B58)</f>
        <v>#DIV/0!</v>
      </c>
      <c r="C60" s="5" t="e">
        <f t="shared" si="6"/>
        <v>#DIV/0!</v>
      </c>
      <c r="D60" s="11">
        <f t="shared" si="6"/>
        <v>0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I1006"/>
  <sheetViews>
    <sheetView workbookViewId="0"/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12.5</v>
      </c>
      <c r="C2" s="17">
        <v>8</v>
      </c>
      <c r="D2" s="6">
        <f t="shared" ref="D2:D26" si="0">B2/C2</f>
        <v>1.5625</v>
      </c>
      <c r="E2" s="7"/>
      <c r="F2" s="7"/>
      <c r="G2" s="7"/>
      <c r="H2" s="7"/>
    </row>
    <row r="3" spans="1:8" ht="15.75" customHeight="1">
      <c r="A3" s="4">
        <v>2</v>
      </c>
      <c r="B3" s="17">
        <v>12.5</v>
      </c>
      <c r="C3" s="17">
        <v>7</v>
      </c>
      <c r="D3" s="6">
        <f t="shared" si="0"/>
        <v>1.7857142857142858</v>
      </c>
      <c r="E3" s="7"/>
      <c r="F3" s="7"/>
      <c r="G3" s="7"/>
      <c r="H3" s="7"/>
    </row>
    <row r="4" spans="1:8" ht="15.75" customHeight="1">
      <c r="A4" s="4">
        <v>3</v>
      </c>
      <c r="B4" s="17">
        <v>11.5</v>
      </c>
      <c r="C4" s="17">
        <v>7</v>
      </c>
      <c r="D4" s="6">
        <f t="shared" si="0"/>
        <v>1.6428571428571428</v>
      </c>
      <c r="E4" s="7"/>
      <c r="F4" s="7"/>
      <c r="G4" s="7"/>
      <c r="H4" s="7"/>
    </row>
    <row r="5" spans="1:8" ht="15.75" customHeight="1">
      <c r="A5" s="4">
        <v>4</v>
      </c>
      <c r="B5" s="17">
        <v>14</v>
      </c>
      <c r="C5" s="17">
        <v>8.5</v>
      </c>
      <c r="D5" s="6">
        <f t="shared" si="0"/>
        <v>1.6470588235294117</v>
      </c>
      <c r="E5" s="7"/>
      <c r="F5" s="7"/>
      <c r="G5" s="7"/>
      <c r="H5" s="7"/>
    </row>
    <row r="6" spans="1:8" ht="15.75" customHeight="1">
      <c r="A6" s="4">
        <v>5</v>
      </c>
      <c r="B6" s="17">
        <v>13.5</v>
      </c>
      <c r="C6" s="17">
        <v>7.5</v>
      </c>
      <c r="D6" s="6">
        <f t="shared" si="0"/>
        <v>1.8</v>
      </c>
      <c r="E6" s="7"/>
      <c r="F6" s="7"/>
      <c r="G6" s="7"/>
      <c r="H6" s="7"/>
    </row>
    <row r="7" spans="1:8" ht="15.75" customHeight="1">
      <c r="A7" s="4">
        <v>6</v>
      </c>
      <c r="B7" s="17">
        <v>12.5</v>
      </c>
      <c r="C7" s="17">
        <v>7.5</v>
      </c>
      <c r="D7" s="6">
        <f t="shared" si="0"/>
        <v>1.6666666666666667</v>
      </c>
      <c r="E7" s="7"/>
      <c r="F7" s="7"/>
      <c r="G7" s="7"/>
      <c r="H7" s="7"/>
    </row>
    <row r="8" spans="1:8" ht="15.75" customHeight="1">
      <c r="A8" s="4">
        <v>7</v>
      </c>
      <c r="B8" s="17">
        <v>14.5</v>
      </c>
      <c r="C8" s="17">
        <v>9</v>
      </c>
      <c r="D8" s="6">
        <f t="shared" si="0"/>
        <v>1.6111111111111112</v>
      </c>
      <c r="E8" s="7"/>
      <c r="F8" s="7"/>
      <c r="G8" s="7"/>
      <c r="H8" s="7"/>
    </row>
    <row r="9" spans="1:8" ht="15.75" customHeight="1">
      <c r="A9" s="4">
        <v>8</v>
      </c>
      <c r="B9" s="17">
        <v>11</v>
      </c>
      <c r="C9" s="17">
        <v>8</v>
      </c>
      <c r="D9" s="6">
        <f t="shared" si="0"/>
        <v>1.375</v>
      </c>
      <c r="E9" s="7"/>
      <c r="F9" s="7"/>
      <c r="G9" s="7"/>
      <c r="H9" s="7"/>
    </row>
    <row r="10" spans="1:8" ht="15.75" customHeight="1">
      <c r="A10" s="4">
        <v>9</v>
      </c>
      <c r="B10" s="17">
        <v>10</v>
      </c>
      <c r="C10" s="17">
        <v>6.5</v>
      </c>
      <c r="D10" s="6">
        <f t="shared" si="0"/>
        <v>1.5384615384615385</v>
      </c>
      <c r="E10" s="7"/>
      <c r="F10" s="7"/>
      <c r="G10" s="7"/>
      <c r="H10" s="7"/>
    </row>
    <row r="11" spans="1:8" ht="15.75" customHeight="1">
      <c r="A11" s="4">
        <v>10</v>
      </c>
      <c r="B11" s="17">
        <v>12</v>
      </c>
      <c r="C11" s="17">
        <v>7.5</v>
      </c>
      <c r="D11" s="6">
        <f t="shared" si="0"/>
        <v>1.6</v>
      </c>
      <c r="E11" s="7"/>
      <c r="F11" s="7"/>
      <c r="G11" s="7"/>
      <c r="H11" s="7"/>
    </row>
    <row r="12" spans="1:8" ht="15.75" customHeight="1">
      <c r="A12" s="8">
        <v>11</v>
      </c>
      <c r="B12" s="17">
        <v>11</v>
      </c>
      <c r="C12" s="17">
        <v>7.5</v>
      </c>
      <c r="D12" s="6">
        <f t="shared" si="0"/>
        <v>1.4666666666666666</v>
      </c>
      <c r="E12" s="7"/>
      <c r="F12" s="7"/>
      <c r="G12" s="7"/>
      <c r="H12" s="7"/>
    </row>
    <row r="13" spans="1:8" ht="15.75" customHeight="1">
      <c r="A13" s="8">
        <v>12</v>
      </c>
      <c r="B13" s="17">
        <v>12</v>
      </c>
      <c r="C13" s="17">
        <v>8</v>
      </c>
      <c r="D13" s="6">
        <f t="shared" si="0"/>
        <v>1.5</v>
      </c>
      <c r="E13" s="7"/>
      <c r="F13" s="7"/>
      <c r="G13" s="7"/>
      <c r="H13" s="7"/>
    </row>
    <row r="14" spans="1:8" ht="15.75" customHeight="1">
      <c r="A14" s="8">
        <v>13</v>
      </c>
      <c r="B14" s="17">
        <v>13</v>
      </c>
      <c r="C14" s="17">
        <v>8</v>
      </c>
      <c r="D14" s="6">
        <f t="shared" si="0"/>
        <v>1.625</v>
      </c>
      <c r="E14" s="7"/>
      <c r="F14" s="7"/>
      <c r="G14" s="7"/>
      <c r="H14" s="7"/>
    </row>
    <row r="15" spans="1:8" ht="15.75" customHeight="1">
      <c r="A15" s="8">
        <v>14</v>
      </c>
      <c r="B15" s="17">
        <v>12</v>
      </c>
      <c r="C15" s="17">
        <v>8.5</v>
      </c>
      <c r="D15" s="6">
        <f t="shared" si="0"/>
        <v>1.411764705882353</v>
      </c>
      <c r="E15" s="7"/>
      <c r="F15" s="7"/>
      <c r="G15" s="7"/>
      <c r="H15" s="7"/>
    </row>
    <row r="16" spans="1:8" ht="15.75" customHeight="1">
      <c r="A16" s="8">
        <v>15</v>
      </c>
      <c r="B16" s="17">
        <v>12.5</v>
      </c>
      <c r="C16" s="17">
        <v>7.5</v>
      </c>
      <c r="D16" s="6">
        <f t="shared" si="0"/>
        <v>1.6666666666666667</v>
      </c>
      <c r="E16" s="7"/>
      <c r="F16" s="7"/>
      <c r="G16" s="7"/>
      <c r="H16" s="7"/>
    </row>
    <row r="17" spans="1:9" ht="15.75" customHeight="1">
      <c r="A17" s="8">
        <v>16</v>
      </c>
      <c r="B17" s="17">
        <v>14</v>
      </c>
      <c r="C17" s="17">
        <v>8.5</v>
      </c>
      <c r="D17" s="6">
        <f t="shared" si="0"/>
        <v>1.6470588235294117</v>
      </c>
      <c r="E17" s="7"/>
      <c r="F17" s="7"/>
      <c r="G17" s="7"/>
      <c r="H17" s="7"/>
    </row>
    <row r="18" spans="1:9" ht="15.75" customHeight="1">
      <c r="A18" s="8">
        <v>17</v>
      </c>
      <c r="B18" s="17">
        <v>13</v>
      </c>
      <c r="C18" s="17">
        <v>7.5</v>
      </c>
      <c r="D18" s="6">
        <f t="shared" si="0"/>
        <v>1.7333333333333334</v>
      </c>
      <c r="E18" s="7"/>
      <c r="F18" s="7"/>
      <c r="G18" s="7"/>
      <c r="H18" s="7"/>
    </row>
    <row r="19" spans="1:9" ht="15.75" customHeight="1">
      <c r="A19" s="8">
        <v>18</v>
      </c>
      <c r="B19" s="17">
        <v>12</v>
      </c>
      <c r="C19" s="17">
        <v>8</v>
      </c>
      <c r="D19" s="6">
        <f t="shared" si="0"/>
        <v>1.5</v>
      </c>
      <c r="E19" s="7"/>
      <c r="F19" s="7"/>
      <c r="G19" s="7"/>
      <c r="H19" s="7"/>
      <c r="I19" s="1" t="s">
        <v>40</v>
      </c>
    </row>
    <row r="20" spans="1:9" ht="15.75" customHeight="1">
      <c r="A20" s="8">
        <v>19</v>
      </c>
      <c r="B20" s="17">
        <v>12</v>
      </c>
      <c r="C20" s="17">
        <v>7.5</v>
      </c>
      <c r="D20" s="6">
        <f t="shared" si="0"/>
        <v>1.6</v>
      </c>
      <c r="E20" s="7"/>
      <c r="F20" s="7"/>
      <c r="G20" s="7"/>
      <c r="H20" s="7"/>
    </row>
    <row r="21" spans="1:9" ht="15.75" customHeight="1">
      <c r="A21" s="8">
        <v>20</v>
      </c>
      <c r="B21" s="17">
        <v>14</v>
      </c>
      <c r="C21" s="17">
        <v>8</v>
      </c>
      <c r="D21" s="6">
        <f t="shared" si="0"/>
        <v>1.75</v>
      </c>
      <c r="E21" s="7"/>
      <c r="F21" s="7"/>
      <c r="G21" s="7"/>
      <c r="H21" s="7"/>
    </row>
    <row r="22" spans="1:9" ht="15.75" customHeight="1">
      <c r="A22" s="8">
        <v>21</v>
      </c>
      <c r="B22" s="17">
        <v>11</v>
      </c>
      <c r="C22" s="17">
        <v>7</v>
      </c>
      <c r="D22" s="6">
        <f t="shared" si="0"/>
        <v>1.5714285714285714</v>
      </c>
      <c r="E22" s="7"/>
      <c r="F22" s="7"/>
      <c r="G22" s="7"/>
      <c r="H22" s="7"/>
    </row>
    <row r="23" spans="1:9" ht="15.75" customHeight="1">
      <c r="A23" s="8">
        <v>22</v>
      </c>
      <c r="B23" s="17">
        <v>12</v>
      </c>
      <c r="C23" s="17">
        <v>6.5</v>
      </c>
      <c r="D23" s="6">
        <f t="shared" si="0"/>
        <v>1.8461538461538463</v>
      </c>
      <c r="E23" s="7"/>
      <c r="F23" s="7"/>
      <c r="G23" s="7"/>
      <c r="H23" s="7"/>
    </row>
    <row r="24" spans="1:9" ht="15.75" customHeight="1">
      <c r="A24" s="8">
        <v>23</v>
      </c>
      <c r="B24" s="17">
        <v>11.5</v>
      </c>
      <c r="C24" s="17">
        <v>7</v>
      </c>
      <c r="D24" s="6">
        <f t="shared" si="0"/>
        <v>1.6428571428571428</v>
      </c>
      <c r="E24" s="7"/>
      <c r="F24" s="7"/>
      <c r="G24" s="7"/>
      <c r="H24" s="7"/>
    </row>
    <row r="25" spans="1:9" ht="15.75" customHeight="1">
      <c r="A25" s="8">
        <v>24</v>
      </c>
      <c r="B25" s="17">
        <v>11.5</v>
      </c>
      <c r="C25" s="17">
        <v>6</v>
      </c>
      <c r="D25" s="6">
        <f t="shared" si="0"/>
        <v>1.9166666666666667</v>
      </c>
      <c r="E25" s="7"/>
      <c r="F25" s="7"/>
      <c r="G25" s="7"/>
      <c r="H25" s="7"/>
    </row>
    <row r="26" spans="1:9" ht="15.75" customHeight="1">
      <c r="A26" s="8">
        <v>25</v>
      </c>
      <c r="B26" s="17">
        <v>12.5</v>
      </c>
      <c r="C26" s="17">
        <v>7.5</v>
      </c>
      <c r="D26" s="6">
        <f t="shared" si="0"/>
        <v>1.6666666666666667</v>
      </c>
      <c r="E26" s="7"/>
      <c r="F26" s="7"/>
      <c r="G26" s="7"/>
      <c r="H26" s="7"/>
    </row>
    <row r="27" spans="1:9" ht="15.75" customHeight="1">
      <c r="A27" s="4" t="s">
        <v>10</v>
      </c>
      <c r="B27" s="5">
        <f t="shared" ref="B27:D27" si="1">AVERAGE(B2:B26)</f>
        <v>12.32</v>
      </c>
      <c r="C27" s="5">
        <f t="shared" si="1"/>
        <v>7.58</v>
      </c>
      <c r="D27" s="9">
        <f t="shared" si="1"/>
        <v>1.6309453063276593</v>
      </c>
      <c r="E27" s="7"/>
      <c r="F27" s="7"/>
      <c r="G27" s="7"/>
      <c r="H27" s="7"/>
    </row>
    <row r="28" spans="1:9" ht="15.75" customHeight="1">
      <c r="A28" s="4" t="s">
        <v>11</v>
      </c>
      <c r="B28" s="5">
        <f t="shared" ref="B28:D28" si="2">MIN(B3:B26)</f>
        <v>10</v>
      </c>
      <c r="C28" s="5">
        <f t="shared" si="2"/>
        <v>6</v>
      </c>
      <c r="D28" s="9">
        <f t="shared" si="2"/>
        <v>1.375</v>
      </c>
      <c r="E28" s="7"/>
      <c r="F28" s="7"/>
      <c r="G28" s="7"/>
      <c r="H28" s="7"/>
    </row>
    <row r="29" spans="1:9" ht="15.75" customHeight="1">
      <c r="A29" s="4" t="s">
        <v>12</v>
      </c>
      <c r="B29" s="5">
        <f t="shared" ref="B29:D29" si="3">MAX(B4:B26)</f>
        <v>14.5</v>
      </c>
      <c r="C29" s="5">
        <f t="shared" si="3"/>
        <v>9</v>
      </c>
      <c r="D29" s="9">
        <f t="shared" si="3"/>
        <v>1.9166666666666667</v>
      </c>
      <c r="E29" s="7"/>
      <c r="F29" s="7"/>
      <c r="G29" s="7"/>
      <c r="H29" s="7"/>
    </row>
    <row r="30" spans="1:9" ht="15.75" customHeight="1">
      <c r="A30" s="2"/>
      <c r="B30" s="7"/>
      <c r="C30" s="7"/>
      <c r="D30" s="10"/>
      <c r="E30" s="7"/>
      <c r="F30" s="7"/>
      <c r="G30" s="7"/>
      <c r="H30" s="7"/>
    </row>
    <row r="31" spans="1:9" ht="15.75" customHeight="1">
      <c r="A31" s="2"/>
      <c r="B31" s="7"/>
      <c r="C31" s="7"/>
      <c r="D31" s="10"/>
      <c r="E31" s="7"/>
      <c r="F31" s="7"/>
      <c r="G31" s="7"/>
      <c r="H31" s="7"/>
    </row>
    <row r="32" spans="1:9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50</v>
      </c>
      <c r="C33" s="17">
        <v>11</v>
      </c>
      <c r="D33" s="13">
        <v>4</v>
      </c>
      <c r="E33" s="17">
        <v>3.5</v>
      </c>
      <c r="F33" s="14" t="s">
        <v>41</v>
      </c>
      <c r="G33" s="7"/>
      <c r="H33" s="7"/>
    </row>
    <row r="34" spans="1:8" ht="15.75" customHeight="1">
      <c r="A34" s="4">
        <v>2</v>
      </c>
      <c r="B34" s="17">
        <v>46.5</v>
      </c>
      <c r="C34" s="17">
        <v>11.5</v>
      </c>
      <c r="D34" s="13">
        <v>4</v>
      </c>
      <c r="E34" s="17">
        <v>5.5</v>
      </c>
      <c r="F34" s="7"/>
      <c r="G34" s="7"/>
      <c r="H34" s="7"/>
    </row>
    <row r="35" spans="1:8" ht="15.75" customHeight="1">
      <c r="A35" s="4">
        <v>3</v>
      </c>
      <c r="B35" s="17">
        <v>52</v>
      </c>
      <c r="C35" s="17">
        <v>12.5</v>
      </c>
      <c r="D35" s="13">
        <v>4</v>
      </c>
      <c r="E35" s="14">
        <v>4.5</v>
      </c>
      <c r="F35" s="7"/>
      <c r="G35" s="7"/>
      <c r="H35" s="14" t="s">
        <v>42</v>
      </c>
    </row>
    <row r="36" spans="1:8" ht="15.75" customHeight="1">
      <c r="A36" s="4">
        <v>4</v>
      </c>
      <c r="B36" s="17">
        <v>47</v>
      </c>
      <c r="C36" s="17">
        <v>11</v>
      </c>
      <c r="D36" s="13">
        <v>4</v>
      </c>
      <c r="E36" s="17">
        <v>6</v>
      </c>
      <c r="F36" s="7"/>
      <c r="G36" s="7"/>
      <c r="H36" s="7"/>
    </row>
    <row r="37" spans="1:8" ht="15.75" customHeight="1">
      <c r="A37" s="4">
        <v>5</v>
      </c>
      <c r="B37" s="17">
        <v>48</v>
      </c>
      <c r="C37" s="17">
        <v>9</v>
      </c>
      <c r="D37" s="13">
        <v>4</v>
      </c>
      <c r="E37" s="17">
        <v>4.5</v>
      </c>
      <c r="F37" s="7"/>
      <c r="G37" s="7"/>
      <c r="H37" s="14" t="s">
        <v>43</v>
      </c>
    </row>
    <row r="38" spans="1:8" ht="15.75" customHeight="1">
      <c r="A38" s="4">
        <v>6</v>
      </c>
      <c r="B38" s="17">
        <v>50</v>
      </c>
      <c r="C38" s="17">
        <v>12</v>
      </c>
      <c r="D38" s="13">
        <v>4</v>
      </c>
      <c r="E38" s="17">
        <v>4</v>
      </c>
      <c r="F38" s="7"/>
      <c r="G38" s="7"/>
      <c r="H38" s="7"/>
    </row>
    <row r="39" spans="1:8" ht="15.75" customHeight="1">
      <c r="A39" s="4">
        <v>7</v>
      </c>
      <c r="B39" s="17">
        <v>47.5</v>
      </c>
      <c r="C39" s="17">
        <v>12</v>
      </c>
      <c r="D39" s="13">
        <v>2</v>
      </c>
      <c r="E39" s="17">
        <v>7.5</v>
      </c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>
        <v>4</v>
      </c>
      <c r="F48" s="7"/>
      <c r="G48" s="7"/>
      <c r="H48" s="7"/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2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48.714285714285715</v>
      </c>
      <c r="C58" s="5">
        <f t="shared" si="4"/>
        <v>11.285714285714286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46.5</v>
      </c>
      <c r="C59" s="5">
        <f t="shared" si="5"/>
        <v>9</v>
      </c>
      <c r="D59" s="11">
        <f t="shared" si="5"/>
        <v>2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52</v>
      </c>
      <c r="C60" s="5">
        <f t="shared" si="6"/>
        <v>12.5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I1006"/>
  <sheetViews>
    <sheetView workbookViewId="0"/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14.5</v>
      </c>
      <c r="C2" s="17">
        <v>8.5</v>
      </c>
      <c r="D2" s="6">
        <f t="shared" ref="D2:D26" si="0">B2/C2</f>
        <v>1.7058823529411764</v>
      </c>
      <c r="E2" s="7"/>
      <c r="F2" s="7"/>
      <c r="G2" s="7"/>
      <c r="H2" s="7"/>
    </row>
    <row r="3" spans="1:9" ht="15.75" customHeight="1">
      <c r="A3" s="4">
        <v>2</v>
      </c>
      <c r="B3" s="17">
        <v>11</v>
      </c>
      <c r="C3" s="17">
        <v>8</v>
      </c>
      <c r="D3" s="6">
        <f t="shared" si="0"/>
        <v>1.375</v>
      </c>
      <c r="E3" s="7"/>
      <c r="F3" s="7"/>
      <c r="G3" s="7"/>
      <c r="H3" s="7"/>
    </row>
    <row r="4" spans="1:9" ht="15.75" customHeight="1">
      <c r="A4" s="4">
        <v>3</v>
      </c>
      <c r="B4" s="17">
        <v>11</v>
      </c>
      <c r="C4" s="17">
        <v>8.5</v>
      </c>
      <c r="D4" s="6">
        <f t="shared" si="0"/>
        <v>1.2941176470588236</v>
      </c>
      <c r="E4" s="7"/>
      <c r="F4" s="7"/>
      <c r="G4" s="7"/>
      <c r="H4" s="7"/>
    </row>
    <row r="5" spans="1:9" ht="15.75" customHeight="1">
      <c r="A5" s="4">
        <v>4</v>
      </c>
      <c r="B5" s="17">
        <v>12</v>
      </c>
      <c r="C5" s="17">
        <v>7.5</v>
      </c>
      <c r="D5" s="6">
        <f t="shared" si="0"/>
        <v>1.6</v>
      </c>
      <c r="E5" s="7"/>
      <c r="F5" s="7"/>
      <c r="G5" s="7"/>
      <c r="H5" s="7"/>
    </row>
    <row r="6" spans="1:9" ht="15.75" customHeight="1">
      <c r="A6" s="4">
        <v>5</v>
      </c>
      <c r="B6" s="17">
        <v>11</v>
      </c>
      <c r="C6" s="17">
        <v>8.5</v>
      </c>
      <c r="D6" s="6">
        <f t="shared" si="0"/>
        <v>1.2941176470588236</v>
      </c>
      <c r="E6" s="7"/>
      <c r="F6" s="7"/>
      <c r="G6" s="7"/>
      <c r="H6" s="7"/>
    </row>
    <row r="7" spans="1:9" ht="15.75" customHeight="1">
      <c r="A7" s="4">
        <v>6</v>
      </c>
      <c r="B7" s="17">
        <v>12</v>
      </c>
      <c r="C7" s="17">
        <v>7</v>
      </c>
      <c r="D7" s="6">
        <f t="shared" si="0"/>
        <v>1.7142857142857142</v>
      </c>
      <c r="E7" s="7"/>
      <c r="F7" s="7"/>
      <c r="G7" s="7"/>
      <c r="H7" s="7"/>
      <c r="I7" s="1" t="s">
        <v>44</v>
      </c>
    </row>
    <row r="8" spans="1:9" ht="15.75" customHeight="1">
      <c r="A8" s="4">
        <v>7</v>
      </c>
      <c r="B8" s="17">
        <v>11.5</v>
      </c>
      <c r="C8" s="17">
        <v>7</v>
      </c>
      <c r="D8" s="6">
        <f t="shared" si="0"/>
        <v>1.6428571428571428</v>
      </c>
      <c r="E8" s="7"/>
      <c r="F8" s="7"/>
      <c r="G8" s="7"/>
      <c r="H8" s="7"/>
    </row>
    <row r="9" spans="1:9" ht="15.75" customHeight="1">
      <c r="A9" s="4">
        <v>8</v>
      </c>
      <c r="B9" s="17">
        <v>14</v>
      </c>
      <c r="C9" s="17">
        <v>8</v>
      </c>
      <c r="D9" s="6">
        <f t="shared" si="0"/>
        <v>1.75</v>
      </c>
      <c r="E9" s="7"/>
      <c r="F9" s="7"/>
      <c r="G9" s="7"/>
      <c r="H9" s="7"/>
    </row>
    <row r="10" spans="1:9" ht="15.75" customHeight="1">
      <c r="A10" s="4">
        <v>9</v>
      </c>
      <c r="B10" s="17">
        <v>11</v>
      </c>
      <c r="C10" s="17">
        <v>9</v>
      </c>
      <c r="D10" s="6">
        <f t="shared" si="0"/>
        <v>1.2222222222222223</v>
      </c>
      <c r="E10" s="7"/>
      <c r="F10" s="7"/>
      <c r="G10" s="7"/>
      <c r="H10" s="7"/>
    </row>
    <row r="11" spans="1:9" ht="15.75" customHeight="1">
      <c r="A11" s="4">
        <v>10</v>
      </c>
      <c r="B11" s="17">
        <v>12</v>
      </c>
      <c r="C11" s="17">
        <v>8</v>
      </c>
      <c r="D11" s="6">
        <f t="shared" si="0"/>
        <v>1.5</v>
      </c>
      <c r="E11" s="7"/>
      <c r="F11" s="7"/>
      <c r="G11" s="7"/>
      <c r="H11" s="7"/>
    </row>
    <row r="12" spans="1:9" ht="15.75" customHeight="1">
      <c r="A12" s="8">
        <v>11</v>
      </c>
      <c r="B12" s="17">
        <v>12.5</v>
      </c>
      <c r="C12" s="17">
        <v>8.5</v>
      </c>
      <c r="D12" s="6">
        <f t="shared" si="0"/>
        <v>1.4705882352941178</v>
      </c>
      <c r="E12" s="7"/>
      <c r="F12" s="7"/>
      <c r="G12" s="7"/>
      <c r="H12" s="7"/>
    </row>
    <row r="13" spans="1:9" ht="15.75" customHeight="1">
      <c r="A13" s="8">
        <v>12</v>
      </c>
      <c r="B13" s="17">
        <v>12.5</v>
      </c>
      <c r="C13" s="17">
        <v>8</v>
      </c>
      <c r="D13" s="6">
        <f t="shared" si="0"/>
        <v>1.5625</v>
      </c>
      <c r="E13" s="7"/>
      <c r="F13" s="7"/>
      <c r="G13" s="7"/>
      <c r="H13" s="7"/>
    </row>
    <row r="14" spans="1:9" ht="15.75" customHeight="1">
      <c r="A14" s="8">
        <v>13</v>
      </c>
      <c r="B14" s="17">
        <v>12</v>
      </c>
      <c r="C14" s="17">
        <v>8</v>
      </c>
      <c r="D14" s="6">
        <f t="shared" si="0"/>
        <v>1.5</v>
      </c>
      <c r="E14" s="7"/>
      <c r="F14" s="7"/>
      <c r="G14" s="7"/>
      <c r="H14" s="7"/>
    </row>
    <row r="15" spans="1:9" ht="15.75" customHeight="1">
      <c r="A15" s="8">
        <v>14</v>
      </c>
      <c r="B15" s="17">
        <v>11.5</v>
      </c>
      <c r="C15" s="17">
        <v>7.5</v>
      </c>
      <c r="D15" s="6">
        <f t="shared" si="0"/>
        <v>1.5333333333333334</v>
      </c>
      <c r="E15" s="7"/>
      <c r="F15" s="7"/>
      <c r="G15" s="7"/>
      <c r="H15" s="7"/>
    </row>
    <row r="16" spans="1:9" ht="15.75" customHeight="1">
      <c r="A16" s="8">
        <v>15</v>
      </c>
      <c r="B16" s="17">
        <v>11</v>
      </c>
      <c r="C16" s="17">
        <v>8</v>
      </c>
      <c r="D16" s="6">
        <f t="shared" si="0"/>
        <v>1.375</v>
      </c>
      <c r="E16" s="7"/>
      <c r="F16" s="7"/>
      <c r="G16" s="7"/>
      <c r="H16" s="7"/>
      <c r="I16" s="1" t="s">
        <v>45</v>
      </c>
    </row>
    <row r="17" spans="1:8" ht="15.75" customHeight="1">
      <c r="A17" s="8">
        <v>16</v>
      </c>
      <c r="B17" s="17">
        <v>11</v>
      </c>
      <c r="C17" s="17">
        <v>8.5</v>
      </c>
      <c r="D17" s="6">
        <f t="shared" si="0"/>
        <v>1.2941176470588236</v>
      </c>
      <c r="E17" s="7"/>
      <c r="F17" s="7"/>
      <c r="G17" s="7"/>
      <c r="H17" s="7"/>
    </row>
    <row r="18" spans="1:8" ht="15.75" customHeight="1">
      <c r="A18" s="8">
        <v>17</v>
      </c>
      <c r="B18" s="17">
        <v>13</v>
      </c>
      <c r="C18" s="17">
        <v>8.5</v>
      </c>
      <c r="D18" s="6">
        <f t="shared" si="0"/>
        <v>1.5294117647058822</v>
      </c>
      <c r="E18" s="7"/>
      <c r="F18" s="7"/>
      <c r="G18" s="7"/>
      <c r="H18" s="7"/>
    </row>
    <row r="19" spans="1:8" ht="15.75" customHeight="1">
      <c r="A19" s="8">
        <v>18</v>
      </c>
      <c r="B19" s="17">
        <v>12</v>
      </c>
      <c r="C19" s="17">
        <v>9</v>
      </c>
      <c r="D19" s="6">
        <f t="shared" si="0"/>
        <v>1.3333333333333333</v>
      </c>
      <c r="E19" s="7"/>
      <c r="F19" s="7"/>
      <c r="G19" s="7"/>
      <c r="H19" s="7"/>
    </row>
    <row r="20" spans="1:8" ht="15.75" customHeight="1">
      <c r="A20" s="8">
        <v>19</v>
      </c>
      <c r="B20" s="17">
        <v>12</v>
      </c>
      <c r="C20" s="17">
        <v>7.5</v>
      </c>
      <c r="D20" s="6">
        <f t="shared" si="0"/>
        <v>1.6</v>
      </c>
      <c r="E20" s="7"/>
      <c r="F20" s="7"/>
      <c r="G20" s="7"/>
      <c r="H20" s="7"/>
    </row>
    <row r="21" spans="1:8" ht="15.75" customHeight="1">
      <c r="A21" s="8">
        <v>20</v>
      </c>
      <c r="B21" s="17">
        <v>13.5</v>
      </c>
      <c r="C21" s="17">
        <v>9</v>
      </c>
      <c r="D21" s="6">
        <f t="shared" si="0"/>
        <v>1.5</v>
      </c>
      <c r="E21" s="7"/>
      <c r="F21" s="7"/>
      <c r="G21" s="7"/>
      <c r="H21" s="7"/>
    </row>
    <row r="22" spans="1:8" ht="15.75" customHeight="1">
      <c r="A22" s="8">
        <v>21</v>
      </c>
      <c r="B22" s="17">
        <v>12.5</v>
      </c>
      <c r="C22" s="17">
        <v>8</v>
      </c>
      <c r="D22" s="6">
        <f t="shared" si="0"/>
        <v>1.5625</v>
      </c>
      <c r="E22" s="7"/>
      <c r="F22" s="7"/>
      <c r="G22" s="7"/>
      <c r="H22" s="7"/>
    </row>
    <row r="23" spans="1:8" ht="15.75" customHeight="1">
      <c r="A23" s="8">
        <v>22</v>
      </c>
      <c r="B23" s="17">
        <v>12</v>
      </c>
      <c r="C23" s="17">
        <v>7.5</v>
      </c>
      <c r="D23" s="6">
        <f t="shared" si="0"/>
        <v>1.6</v>
      </c>
      <c r="E23" s="7"/>
      <c r="F23" s="7"/>
      <c r="G23" s="7"/>
      <c r="H23" s="7"/>
    </row>
    <row r="24" spans="1:8" ht="15.75" customHeight="1">
      <c r="A24" s="8">
        <v>23</v>
      </c>
      <c r="B24" s="17">
        <v>12.5</v>
      </c>
      <c r="C24" s="17">
        <v>6.5</v>
      </c>
      <c r="D24" s="6">
        <f t="shared" si="0"/>
        <v>1.9230769230769231</v>
      </c>
      <c r="E24" s="7"/>
      <c r="F24" s="7"/>
      <c r="G24" s="7"/>
      <c r="H24" s="7"/>
    </row>
    <row r="25" spans="1:8" ht="15.75" customHeight="1">
      <c r="A25" s="8">
        <v>24</v>
      </c>
      <c r="B25" s="17">
        <v>12</v>
      </c>
      <c r="C25" s="17">
        <v>8</v>
      </c>
      <c r="D25" s="6">
        <f t="shared" si="0"/>
        <v>1.5</v>
      </c>
      <c r="E25" s="7"/>
      <c r="F25" s="7"/>
      <c r="G25" s="7"/>
      <c r="H25" s="7"/>
    </row>
    <row r="26" spans="1:8" ht="15.75" customHeight="1">
      <c r="A26" s="8">
        <v>25</v>
      </c>
      <c r="B26" s="17">
        <v>11</v>
      </c>
      <c r="C26" s="17">
        <v>9</v>
      </c>
      <c r="D26" s="6">
        <f t="shared" si="0"/>
        <v>1.2222222222222223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12.04</v>
      </c>
      <c r="C27" s="5">
        <f t="shared" si="1"/>
        <v>8.06</v>
      </c>
      <c r="D27" s="9">
        <f t="shared" si="1"/>
        <v>1.5041826474179414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11</v>
      </c>
      <c r="C28" s="5">
        <f t="shared" si="2"/>
        <v>6.5</v>
      </c>
      <c r="D28" s="9">
        <f t="shared" si="2"/>
        <v>1.2222222222222223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14</v>
      </c>
      <c r="C29" s="5">
        <f t="shared" si="3"/>
        <v>9</v>
      </c>
      <c r="D29" s="9">
        <f t="shared" si="3"/>
        <v>1.9230769230769231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5"/>
      <c r="C33" s="5"/>
      <c r="D33" s="13">
        <v>4</v>
      </c>
      <c r="E33" s="5"/>
      <c r="F33" s="7"/>
      <c r="G33" s="14" t="s">
        <v>46</v>
      </c>
      <c r="H33" s="7"/>
    </row>
    <row r="34" spans="1:8" ht="15.75" customHeight="1">
      <c r="A34" s="4">
        <v>2</v>
      </c>
      <c r="B34" s="5"/>
      <c r="C34" s="5"/>
      <c r="D34" s="11"/>
      <c r="E34" s="5"/>
      <c r="F34" s="7"/>
      <c r="G34" s="14" t="s">
        <v>47</v>
      </c>
      <c r="H34" s="7"/>
    </row>
    <row r="35" spans="1:8" ht="15.75" customHeight="1">
      <c r="A35" s="4">
        <v>3</v>
      </c>
      <c r="B35" s="5"/>
      <c r="C35" s="5"/>
      <c r="D35" s="11"/>
      <c r="E35" s="7"/>
      <c r="F35" s="7"/>
      <c r="G35" s="7"/>
      <c r="H35" s="7"/>
    </row>
    <row r="36" spans="1:8" ht="15.75" customHeight="1">
      <c r="A36" s="4">
        <v>4</v>
      </c>
      <c r="B36" s="5"/>
      <c r="C36" s="5"/>
      <c r="D36" s="11"/>
      <c r="E36" s="5"/>
      <c r="F36" s="7"/>
      <c r="G36" s="7"/>
      <c r="H36" s="7"/>
    </row>
    <row r="37" spans="1:8" ht="15.75" customHeight="1">
      <c r="A37" s="4">
        <v>5</v>
      </c>
      <c r="B37" s="5"/>
      <c r="C37" s="5"/>
      <c r="D37" s="11"/>
      <c r="E37" s="5"/>
      <c r="F37" s="7"/>
      <c r="G37" s="7"/>
      <c r="H37" s="7"/>
    </row>
    <row r="38" spans="1:8" ht="15.75" customHeight="1">
      <c r="A38" s="4">
        <v>6</v>
      </c>
      <c r="B38" s="5"/>
      <c r="C38" s="5"/>
      <c r="D38" s="11"/>
      <c r="E38" s="5"/>
      <c r="F38" s="7"/>
      <c r="G38" s="7"/>
      <c r="H38" s="7"/>
    </row>
    <row r="39" spans="1:8" ht="15.75" customHeight="1">
      <c r="A39" s="4">
        <v>7</v>
      </c>
      <c r="B39" s="5"/>
      <c r="C39" s="5"/>
      <c r="D39" s="11"/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 t="e">
        <f t="shared" ref="B58:C58" si="4">AVERAGE(B33:B57)</f>
        <v>#DIV/0!</v>
      </c>
      <c r="C58" s="5" t="e">
        <f t="shared" si="4"/>
        <v>#DIV/0!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0</v>
      </c>
      <c r="C59" s="5">
        <f t="shared" si="5"/>
        <v>0</v>
      </c>
      <c r="D59" s="11">
        <f t="shared" si="5"/>
        <v>4</v>
      </c>
      <c r="E59" s="7"/>
      <c r="F59" s="7"/>
      <c r="G59" s="7"/>
      <c r="H59" s="7"/>
    </row>
    <row r="60" spans="1:8" ht="14">
      <c r="A60" s="4" t="s">
        <v>12</v>
      </c>
      <c r="B60" s="5" t="e">
        <f t="shared" ref="B60:D60" si="6">MAX(B34:B58)</f>
        <v>#DIV/0!</v>
      </c>
      <c r="C60" s="5" t="e">
        <f t="shared" si="6"/>
        <v>#DIV/0!</v>
      </c>
      <c r="D60" s="11">
        <f t="shared" si="6"/>
        <v>0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H1006"/>
  <sheetViews>
    <sheetView workbookViewId="0"/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5"/>
      <c r="C2" s="5"/>
      <c r="D2" s="6" t="e">
        <f t="shared" ref="D2:D26" si="0">B2/C2</f>
        <v>#DIV/0!</v>
      </c>
      <c r="E2" s="7"/>
      <c r="F2" s="7"/>
      <c r="G2" s="7"/>
      <c r="H2" s="7"/>
    </row>
    <row r="3" spans="1:8" ht="15.75" customHeight="1">
      <c r="A3" s="4">
        <v>2</v>
      </c>
      <c r="B3" s="5"/>
      <c r="C3" s="5"/>
      <c r="D3" s="6" t="e">
        <f t="shared" si="0"/>
        <v>#DIV/0!</v>
      </c>
      <c r="E3" s="7"/>
      <c r="F3" s="7"/>
      <c r="G3" s="7"/>
      <c r="H3" s="7"/>
    </row>
    <row r="4" spans="1:8" ht="15.75" customHeight="1">
      <c r="A4" s="4">
        <v>3</v>
      </c>
      <c r="B4" s="5"/>
      <c r="C4" s="5"/>
      <c r="D4" s="6" t="e">
        <f t="shared" si="0"/>
        <v>#DIV/0!</v>
      </c>
      <c r="E4" s="7"/>
      <c r="F4" s="7"/>
      <c r="G4" s="7"/>
      <c r="H4" s="7"/>
    </row>
    <row r="5" spans="1:8" ht="15.75" customHeight="1">
      <c r="A5" s="4">
        <v>4</v>
      </c>
      <c r="B5" s="5"/>
      <c r="C5" s="5"/>
      <c r="D5" s="6" t="e">
        <f t="shared" si="0"/>
        <v>#DIV/0!</v>
      </c>
      <c r="E5" s="7"/>
      <c r="F5" s="7"/>
      <c r="G5" s="7"/>
      <c r="H5" s="7"/>
    </row>
    <row r="6" spans="1:8" ht="15.75" customHeight="1">
      <c r="A6" s="4">
        <v>5</v>
      </c>
      <c r="B6" s="5"/>
      <c r="C6" s="5"/>
      <c r="D6" s="6" t="e">
        <f t="shared" si="0"/>
        <v>#DIV/0!</v>
      </c>
      <c r="E6" s="7"/>
      <c r="F6" s="7"/>
      <c r="G6" s="7"/>
      <c r="H6" s="7"/>
    </row>
    <row r="7" spans="1:8" ht="15.75" customHeight="1">
      <c r="A7" s="4">
        <v>6</v>
      </c>
      <c r="B7" s="5"/>
      <c r="C7" s="5"/>
      <c r="D7" s="6" t="e">
        <f t="shared" si="0"/>
        <v>#DIV/0!</v>
      </c>
      <c r="E7" s="7"/>
      <c r="F7" s="7"/>
      <c r="G7" s="7"/>
      <c r="H7" s="7"/>
    </row>
    <row r="8" spans="1:8" ht="15.75" customHeight="1">
      <c r="A8" s="4">
        <v>7</v>
      </c>
      <c r="B8" s="5"/>
      <c r="C8" s="5"/>
      <c r="D8" s="6" t="e">
        <f t="shared" si="0"/>
        <v>#DIV/0!</v>
      </c>
      <c r="E8" s="7"/>
      <c r="F8" s="7"/>
      <c r="G8" s="7"/>
      <c r="H8" s="7"/>
    </row>
    <row r="9" spans="1:8" ht="15.75" customHeight="1">
      <c r="A9" s="4">
        <v>8</v>
      </c>
      <c r="B9" s="5"/>
      <c r="C9" s="5"/>
      <c r="D9" s="6" t="e">
        <f t="shared" si="0"/>
        <v>#DIV/0!</v>
      </c>
      <c r="E9" s="7"/>
      <c r="F9" s="7"/>
      <c r="G9" s="7"/>
      <c r="H9" s="7"/>
    </row>
    <row r="10" spans="1:8" ht="15.75" customHeight="1">
      <c r="A10" s="4">
        <v>9</v>
      </c>
      <c r="B10" s="5"/>
      <c r="C10" s="5"/>
      <c r="D10" s="6" t="e">
        <f t="shared" si="0"/>
        <v>#DIV/0!</v>
      </c>
      <c r="E10" s="7"/>
      <c r="F10" s="7"/>
      <c r="G10" s="7"/>
      <c r="H10" s="7"/>
    </row>
    <row r="11" spans="1:8" ht="15.75" customHeight="1">
      <c r="A11" s="4">
        <v>10</v>
      </c>
      <c r="B11" s="5"/>
      <c r="C11" s="5"/>
      <c r="D11" s="6" t="e">
        <f t="shared" si="0"/>
        <v>#DIV/0!</v>
      </c>
      <c r="E11" s="7"/>
      <c r="F11" s="7"/>
      <c r="G11" s="7"/>
      <c r="H11" s="7"/>
    </row>
    <row r="12" spans="1:8" ht="15.75" customHeight="1">
      <c r="A12" s="8">
        <v>11</v>
      </c>
      <c r="B12" s="5"/>
      <c r="C12" s="5"/>
      <c r="D12" s="6" t="e">
        <f t="shared" si="0"/>
        <v>#DIV/0!</v>
      </c>
      <c r="E12" s="7"/>
      <c r="F12" s="7"/>
      <c r="G12" s="7"/>
      <c r="H12" s="7"/>
    </row>
    <row r="13" spans="1:8" ht="15.75" customHeight="1">
      <c r="A13" s="8">
        <v>12</v>
      </c>
      <c r="B13" s="5"/>
      <c r="C13" s="5"/>
      <c r="D13" s="6" t="e">
        <f t="shared" si="0"/>
        <v>#DIV/0!</v>
      </c>
      <c r="E13" s="7"/>
      <c r="F13" s="7"/>
      <c r="G13" s="7"/>
      <c r="H13" s="7"/>
    </row>
    <row r="14" spans="1:8" ht="15.75" customHeight="1">
      <c r="A14" s="8">
        <v>13</v>
      </c>
      <c r="B14" s="5"/>
      <c r="C14" s="5"/>
      <c r="D14" s="6" t="e">
        <f t="shared" si="0"/>
        <v>#DIV/0!</v>
      </c>
      <c r="E14" s="7"/>
      <c r="F14" s="7"/>
      <c r="G14" s="7"/>
      <c r="H14" s="7"/>
    </row>
    <row r="15" spans="1:8" ht="15.75" customHeight="1">
      <c r="A15" s="8">
        <v>14</v>
      </c>
      <c r="B15" s="5"/>
      <c r="C15" s="5"/>
      <c r="D15" s="6" t="e">
        <f t="shared" si="0"/>
        <v>#DIV/0!</v>
      </c>
      <c r="E15" s="7"/>
      <c r="F15" s="7"/>
      <c r="G15" s="7"/>
      <c r="H15" s="7"/>
    </row>
    <row r="16" spans="1:8" ht="15.75" customHeight="1">
      <c r="A16" s="8">
        <v>15</v>
      </c>
      <c r="B16" s="5"/>
      <c r="C16" s="5"/>
      <c r="D16" s="6" t="e">
        <f t="shared" si="0"/>
        <v>#DIV/0!</v>
      </c>
      <c r="E16" s="7"/>
      <c r="F16" s="7"/>
      <c r="G16" s="7"/>
      <c r="H16" s="7"/>
    </row>
    <row r="17" spans="1:8" ht="15.75" customHeight="1">
      <c r="A17" s="8">
        <v>16</v>
      </c>
      <c r="B17" s="5"/>
      <c r="C17" s="5"/>
      <c r="D17" s="6" t="e">
        <f t="shared" si="0"/>
        <v>#DIV/0!</v>
      </c>
      <c r="E17" s="7"/>
      <c r="F17" s="7"/>
      <c r="G17" s="7"/>
      <c r="H17" s="7"/>
    </row>
    <row r="18" spans="1:8" ht="15.75" customHeight="1">
      <c r="A18" s="8">
        <v>17</v>
      </c>
      <c r="B18" s="5"/>
      <c r="C18" s="5"/>
      <c r="D18" s="6" t="e">
        <f t="shared" si="0"/>
        <v>#DIV/0!</v>
      </c>
      <c r="E18" s="7"/>
      <c r="F18" s="7"/>
      <c r="G18" s="7"/>
      <c r="H18" s="7"/>
    </row>
    <row r="19" spans="1:8" ht="15.75" customHeight="1">
      <c r="A19" s="8">
        <v>18</v>
      </c>
      <c r="B19" s="5"/>
      <c r="C19" s="5"/>
      <c r="D19" s="6" t="e">
        <f t="shared" si="0"/>
        <v>#DIV/0!</v>
      </c>
      <c r="E19" s="7"/>
      <c r="F19" s="7"/>
      <c r="G19" s="7"/>
      <c r="H19" s="7"/>
    </row>
    <row r="20" spans="1:8" ht="15.75" customHeight="1">
      <c r="A20" s="8">
        <v>19</v>
      </c>
      <c r="B20" s="5"/>
      <c r="C20" s="5"/>
      <c r="D20" s="6" t="e">
        <f t="shared" si="0"/>
        <v>#DIV/0!</v>
      </c>
      <c r="E20" s="7"/>
      <c r="F20" s="7"/>
      <c r="G20" s="7"/>
      <c r="H20" s="7"/>
    </row>
    <row r="21" spans="1:8" ht="15.75" customHeight="1">
      <c r="A21" s="8">
        <v>20</v>
      </c>
      <c r="B21" s="5"/>
      <c r="C21" s="5"/>
      <c r="D21" s="6" t="e">
        <f t="shared" si="0"/>
        <v>#DIV/0!</v>
      </c>
      <c r="E21" s="7"/>
      <c r="F21" s="7"/>
      <c r="G21" s="7"/>
      <c r="H21" s="7"/>
    </row>
    <row r="22" spans="1:8" ht="15.75" customHeight="1">
      <c r="A22" s="8">
        <v>21</v>
      </c>
      <c r="B22" s="5"/>
      <c r="C22" s="5"/>
      <c r="D22" s="6" t="e">
        <f t="shared" si="0"/>
        <v>#DIV/0!</v>
      </c>
      <c r="E22" s="7"/>
      <c r="F22" s="7"/>
      <c r="G22" s="7"/>
      <c r="H22" s="7"/>
    </row>
    <row r="23" spans="1:8" ht="15.75" customHeight="1">
      <c r="A23" s="8">
        <v>22</v>
      </c>
      <c r="B23" s="5"/>
      <c r="C23" s="5"/>
      <c r="D23" s="6" t="e">
        <f t="shared" si="0"/>
        <v>#DIV/0!</v>
      </c>
      <c r="E23" s="7"/>
      <c r="F23" s="7"/>
      <c r="G23" s="7"/>
      <c r="H23" s="7"/>
    </row>
    <row r="24" spans="1:8" ht="15.75" customHeight="1">
      <c r="A24" s="8">
        <v>23</v>
      </c>
      <c r="B24" s="5"/>
      <c r="C24" s="5"/>
      <c r="D24" s="6" t="e">
        <f t="shared" si="0"/>
        <v>#DIV/0!</v>
      </c>
      <c r="E24" s="7"/>
      <c r="F24" s="7"/>
      <c r="G24" s="7"/>
      <c r="H24" s="7"/>
    </row>
    <row r="25" spans="1:8" ht="15.75" customHeight="1">
      <c r="A25" s="8">
        <v>24</v>
      </c>
      <c r="B25" s="5"/>
      <c r="C25" s="5"/>
      <c r="D25" s="6" t="e">
        <f t="shared" si="0"/>
        <v>#DIV/0!</v>
      </c>
      <c r="E25" s="7"/>
      <c r="F25" s="7"/>
      <c r="G25" s="7"/>
      <c r="H25" s="7"/>
    </row>
    <row r="26" spans="1:8" ht="15.75" customHeight="1">
      <c r="A26" s="8">
        <v>25</v>
      </c>
      <c r="B26" s="5"/>
      <c r="C26" s="5"/>
      <c r="D26" s="6" t="e">
        <f t="shared" si="0"/>
        <v>#DIV/0!</v>
      </c>
      <c r="E26" s="7"/>
      <c r="F26" s="7"/>
      <c r="G26" s="7"/>
      <c r="H26" s="7"/>
    </row>
    <row r="27" spans="1:8" ht="15.75" customHeight="1">
      <c r="A27" s="4" t="s">
        <v>10</v>
      </c>
      <c r="B27" s="5" t="e">
        <f t="shared" ref="B27:D27" si="1">AVERAGE(B2:B26)</f>
        <v>#DIV/0!</v>
      </c>
      <c r="C27" s="5" t="e">
        <f t="shared" si="1"/>
        <v>#DIV/0!</v>
      </c>
      <c r="D27" s="9" t="e">
        <f t="shared" si="1"/>
        <v>#DIV/0!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0</v>
      </c>
      <c r="C28" s="5">
        <f t="shared" si="2"/>
        <v>0</v>
      </c>
      <c r="D28" s="9" t="e">
        <f t="shared" si="2"/>
        <v>#DIV/0!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0</v>
      </c>
      <c r="C29" s="5">
        <f t="shared" si="3"/>
        <v>0</v>
      </c>
      <c r="D29" s="9" t="e">
        <f t="shared" si="3"/>
        <v>#DIV/0!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5"/>
      <c r="C33" s="5"/>
      <c r="D33" s="11"/>
      <c r="E33" s="5"/>
      <c r="F33" s="7"/>
      <c r="G33" s="7"/>
      <c r="H33" s="7"/>
    </row>
    <row r="34" spans="1:8" ht="15.75" customHeight="1">
      <c r="A34" s="4">
        <v>2</v>
      </c>
      <c r="B34" s="5"/>
      <c r="C34" s="5"/>
      <c r="D34" s="11"/>
      <c r="E34" s="5"/>
      <c r="F34" s="7"/>
      <c r="G34" s="7"/>
      <c r="H34" s="7"/>
    </row>
    <row r="35" spans="1:8" ht="15.75" customHeight="1">
      <c r="A35" s="4">
        <v>3</v>
      </c>
      <c r="B35" s="5"/>
      <c r="C35" s="5"/>
      <c r="D35" s="11"/>
      <c r="E35" s="7"/>
      <c r="F35" s="7"/>
      <c r="G35" s="7"/>
      <c r="H35" s="7"/>
    </row>
    <row r="36" spans="1:8" ht="15.75" customHeight="1">
      <c r="A36" s="4">
        <v>4</v>
      </c>
      <c r="B36" s="5"/>
      <c r="C36" s="5"/>
      <c r="D36" s="11"/>
      <c r="E36" s="5"/>
      <c r="F36" s="7"/>
      <c r="G36" s="7"/>
      <c r="H36" s="7"/>
    </row>
    <row r="37" spans="1:8" ht="15.75" customHeight="1">
      <c r="A37" s="4">
        <v>5</v>
      </c>
      <c r="B37" s="5"/>
      <c r="C37" s="5"/>
      <c r="D37" s="11"/>
      <c r="E37" s="5"/>
      <c r="F37" s="7"/>
      <c r="G37" s="7"/>
      <c r="H37" s="7"/>
    </row>
    <row r="38" spans="1:8" ht="15.75" customHeight="1">
      <c r="A38" s="4">
        <v>6</v>
      </c>
      <c r="B38" s="5"/>
      <c r="C38" s="5"/>
      <c r="D38" s="11"/>
      <c r="E38" s="5"/>
      <c r="F38" s="7"/>
      <c r="G38" s="7"/>
      <c r="H38" s="7"/>
    </row>
    <row r="39" spans="1:8" ht="15.75" customHeight="1">
      <c r="A39" s="4">
        <v>7</v>
      </c>
      <c r="B39" s="5"/>
      <c r="C39" s="5"/>
      <c r="D39" s="11"/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 t="e">
        <f t="shared" ref="B58:C58" si="4">AVERAGE(B33:B57)</f>
        <v>#DIV/0!</v>
      </c>
      <c r="C58" s="5" t="e">
        <f t="shared" si="4"/>
        <v>#DIV/0!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0</v>
      </c>
      <c r="C59" s="5">
        <f t="shared" si="5"/>
        <v>0</v>
      </c>
      <c r="D59" s="11">
        <f t="shared" si="5"/>
        <v>0</v>
      </c>
      <c r="E59" s="7"/>
      <c r="F59" s="7"/>
      <c r="G59" s="7"/>
      <c r="H59" s="7"/>
    </row>
    <row r="60" spans="1:8" ht="14">
      <c r="A60" s="4" t="s">
        <v>12</v>
      </c>
      <c r="B60" s="5" t="e">
        <f t="shared" ref="B60:D60" si="6">MAX(B34:B58)</f>
        <v>#DIV/0!</v>
      </c>
      <c r="C60" s="5" t="e">
        <f t="shared" si="6"/>
        <v>#DIV/0!</v>
      </c>
      <c r="D60" s="11">
        <f t="shared" si="6"/>
        <v>0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1006"/>
  <sheetViews>
    <sheetView tabSelected="1" workbookViewId="0"/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5"/>
      <c r="C2" s="5"/>
      <c r="D2" s="6" t="e">
        <f t="shared" ref="D2:D26" si="0">B2/C2</f>
        <v>#DIV/0!</v>
      </c>
      <c r="E2" s="7"/>
      <c r="F2" s="7"/>
      <c r="G2" s="7"/>
      <c r="H2" s="7"/>
    </row>
    <row r="3" spans="1:8" ht="15.75" customHeight="1">
      <c r="A3" s="4">
        <v>2</v>
      </c>
      <c r="B3" s="5"/>
      <c r="C3" s="5"/>
      <c r="D3" s="6" t="e">
        <f t="shared" si="0"/>
        <v>#DIV/0!</v>
      </c>
      <c r="E3" s="7"/>
      <c r="F3" s="7"/>
      <c r="G3" s="7"/>
      <c r="H3" s="7"/>
    </row>
    <row r="4" spans="1:8" ht="15.75" customHeight="1">
      <c r="A4" s="4">
        <v>3</v>
      </c>
      <c r="B4" s="5"/>
      <c r="C4" s="5"/>
      <c r="D4" s="6" t="e">
        <f t="shared" si="0"/>
        <v>#DIV/0!</v>
      </c>
      <c r="E4" s="7"/>
      <c r="F4" s="7"/>
      <c r="G4" s="7"/>
      <c r="H4" s="7"/>
    </row>
    <row r="5" spans="1:8" ht="15.75" customHeight="1">
      <c r="A5" s="4">
        <v>4</v>
      </c>
      <c r="B5" s="5"/>
      <c r="C5" s="5"/>
      <c r="D5" s="6" t="e">
        <f t="shared" si="0"/>
        <v>#DIV/0!</v>
      </c>
      <c r="E5" s="7"/>
      <c r="F5" s="7"/>
      <c r="G5" s="7"/>
      <c r="H5" s="7"/>
    </row>
    <row r="6" spans="1:8" ht="15.75" customHeight="1">
      <c r="A6" s="4">
        <v>5</v>
      </c>
      <c r="B6" s="5"/>
      <c r="C6" s="5"/>
      <c r="D6" s="6" t="e">
        <f t="shared" si="0"/>
        <v>#DIV/0!</v>
      </c>
      <c r="E6" s="7"/>
      <c r="F6" s="7"/>
      <c r="G6" s="7"/>
      <c r="H6" s="7"/>
    </row>
    <row r="7" spans="1:8" ht="15.75" customHeight="1">
      <c r="A7" s="4">
        <v>6</v>
      </c>
      <c r="B7" s="5"/>
      <c r="C7" s="5"/>
      <c r="D7" s="6" t="e">
        <f t="shared" si="0"/>
        <v>#DIV/0!</v>
      </c>
      <c r="E7" s="7"/>
      <c r="F7" s="7"/>
      <c r="G7" s="7"/>
      <c r="H7" s="7"/>
    </row>
    <row r="8" spans="1:8" ht="15.75" customHeight="1">
      <c r="A8" s="4">
        <v>7</v>
      </c>
      <c r="B8" s="5"/>
      <c r="C8" s="5"/>
      <c r="D8" s="6" t="e">
        <f t="shared" si="0"/>
        <v>#DIV/0!</v>
      </c>
      <c r="E8" s="7"/>
      <c r="F8" s="7"/>
      <c r="G8" s="7"/>
      <c r="H8" s="7"/>
    </row>
    <row r="9" spans="1:8" ht="15.75" customHeight="1">
      <c r="A9" s="4">
        <v>8</v>
      </c>
      <c r="B9" s="5"/>
      <c r="C9" s="5"/>
      <c r="D9" s="6" t="e">
        <f t="shared" si="0"/>
        <v>#DIV/0!</v>
      </c>
      <c r="E9" s="7"/>
      <c r="F9" s="7"/>
      <c r="G9" s="7"/>
      <c r="H9" s="7"/>
    </row>
    <row r="10" spans="1:8" ht="15.75" customHeight="1">
      <c r="A10" s="4">
        <v>9</v>
      </c>
      <c r="B10" s="5"/>
      <c r="C10" s="5"/>
      <c r="D10" s="6" t="e">
        <f t="shared" si="0"/>
        <v>#DIV/0!</v>
      </c>
      <c r="E10" s="7"/>
      <c r="F10" s="7"/>
      <c r="G10" s="7"/>
      <c r="H10" s="7"/>
    </row>
    <row r="11" spans="1:8" ht="15.75" customHeight="1">
      <c r="A11" s="4">
        <v>10</v>
      </c>
      <c r="B11" s="5"/>
      <c r="C11" s="5"/>
      <c r="D11" s="6" t="e">
        <f t="shared" si="0"/>
        <v>#DIV/0!</v>
      </c>
      <c r="E11" s="7"/>
      <c r="F11" s="7"/>
      <c r="G11" s="7"/>
      <c r="H11" s="7"/>
    </row>
    <row r="12" spans="1:8" ht="15.75" customHeight="1">
      <c r="A12" s="8">
        <v>11</v>
      </c>
      <c r="B12" s="5"/>
      <c r="C12" s="5"/>
      <c r="D12" s="6" t="e">
        <f t="shared" si="0"/>
        <v>#DIV/0!</v>
      </c>
      <c r="E12" s="7"/>
      <c r="F12" s="7"/>
      <c r="G12" s="7"/>
      <c r="H12" s="7"/>
    </row>
    <row r="13" spans="1:8" ht="15.75" customHeight="1">
      <c r="A13" s="8">
        <v>12</v>
      </c>
      <c r="B13" s="5"/>
      <c r="C13" s="5"/>
      <c r="D13" s="6" t="e">
        <f t="shared" si="0"/>
        <v>#DIV/0!</v>
      </c>
      <c r="E13" s="7"/>
      <c r="F13" s="7"/>
      <c r="G13" s="7"/>
      <c r="H13" s="7"/>
    </row>
    <row r="14" spans="1:8" ht="15.75" customHeight="1">
      <c r="A14" s="8">
        <v>13</v>
      </c>
      <c r="B14" s="5"/>
      <c r="C14" s="5"/>
      <c r="D14" s="6" t="e">
        <f t="shared" si="0"/>
        <v>#DIV/0!</v>
      </c>
      <c r="E14" s="7"/>
      <c r="F14" s="7"/>
      <c r="G14" s="7"/>
      <c r="H14" s="7"/>
    </row>
    <row r="15" spans="1:8" ht="15.75" customHeight="1">
      <c r="A15" s="8">
        <v>14</v>
      </c>
      <c r="B15" s="5"/>
      <c r="C15" s="5"/>
      <c r="D15" s="6" t="e">
        <f t="shared" si="0"/>
        <v>#DIV/0!</v>
      </c>
      <c r="E15" s="7"/>
      <c r="F15" s="7"/>
      <c r="G15" s="7"/>
      <c r="H15" s="7"/>
    </row>
    <row r="16" spans="1:8" ht="15.75" customHeight="1">
      <c r="A16" s="8">
        <v>15</v>
      </c>
      <c r="B16" s="5"/>
      <c r="C16" s="5"/>
      <c r="D16" s="6" t="e">
        <f t="shared" si="0"/>
        <v>#DIV/0!</v>
      </c>
      <c r="E16" s="7"/>
      <c r="F16" s="7"/>
      <c r="G16" s="7"/>
      <c r="H16" s="7"/>
    </row>
    <row r="17" spans="1:8" ht="15.75" customHeight="1">
      <c r="A17" s="8">
        <v>16</v>
      </c>
      <c r="B17" s="5"/>
      <c r="C17" s="5"/>
      <c r="D17" s="6" t="e">
        <f t="shared" si="0"/>
        <v>#DIV/0!</v>
      </c>
      <c r="E17" s="7"/>
      <c r="F17" s="7"/>
      <c r="G17" s="7"/>
      <c r="H17" s="7"/>
    </row>
    <row r="18" spans="1:8" ht="15.75" customHeight="1">
      <c r="A18" s="8">
        <v>17</v>
      </c>
      <c r="B18" s="5"/>
      <c r="C18" s="5"/>
      <c r="D18" s="6" t="e">
        <f t="shared" si="0"/>
        <v>#DIV/0!</v>
      </c>
      <c r="E18" s="7"/>
      <c r="F18" s="7"/>
      <c r="G18" s="7"/>
      <c r="H18" s="7"/>
    </row>
    <row r="19" spans="1:8" ht="15.75" customHeight="1">
      <c r="A19" s="8">
        <v>18</v>
      </c>
      <c r="B19" s="5"/>
      <c r="C19" s="5"/>
      <c r="D19" s="6" t="e">
        <f t="shared" si="0"/>
        <v>#DIV/0!</v>
      </c>
      <c r="E19" s="7"/>
      <c r="F19" s="7"/>
      <c r="G19" s="7"/>
      <c r="H19" s="7"/>
    </row>
    <row r="20" spans="1:8" ht="15.75" customHeight="1">
      <c r="A20" s="8">
        <v>19</v>
      </c>
      <c r="B20" s="5"/>
      <c r="C20" s="5"/>
      <c r="D20" s="6" t="e">
        <f t="shared" si="0"/>
        <v>#DIV/0!</v>
      </c>
      <c r="E20" s="7"/>
      <c r="F20" s="7"/>
      <c r="G20" s="7"/>
      <c r="H20" s="7"/>
    </row>
    <row r="21" spans="1:8" ht="15.75" customHeight="1">
      <c r="A21" s="8">
        <v>20</v>
      </c>
      <c r="B21" s="5"/>
      <c r="C21" s="5"/>
      <c r="D21" s="6" t="e">
        <f t="shared" si="0"/>
        <v>#DIV/0!</v>
      </c>
      <c r="E21" s="7"/>
      <c r="F21" s="7"/>
      <c r="G21" s="7"/>
      <c r="H21" s="7"/>
    </row>
    <row r="22" spans="1:8" ht="15.75" customHeight="1">
      <c r="A22" s="8">
        <v>21</v>
      </c>
      <c r="B22" s="5"/>
      <c r="C22" s="5"/>
      <c r="D22" s="6" t="e">
        <f t="shared" si="0"/>
        <v>#DIV/0!</v>
      </c>
      <c r="E22" s="7"/>
      <c r="F22" s="7"/>
      <c r="G22" s="7"/>
      <c r="H22" s="7"/>
    </row>
    <row r="23" spans="1:8" ht="15.75" customHeight="1">
      <c r="A23" s="8">
        <v>22</v>
      </c>
      <c r="B23" s="5"/>
      <c r="C23" s="5"/>
      <c r="D23" s="6" t="e">
        <f t="shared" si="0"/>
        <v>#DIV/0!</v>
      </c>
      <c r="E23" s="7"/>
      <c r="F23" s="7"/>
      <c r="G23" s="7"/>
      <c r="H23" s="7"/>
    </row>
    <row r="24" spans="1:8" ht="15.75" customHeight="1">
      <c r="A24" s="8">
        <v>23</v>
      </c>
      <c r="B24" s="5"/>
      <c r="C24" s="5"/>
      <c r="D24" s="6" t="e">
        <f t="shared" si="0"/>
        <v>#DIV/0!</v>
      </c>
      <c r="E24" s="7"/>
      <c r="F24" s="7"/>
      <c r="G24" s="7"/>
      <c r="H24" s="7"/>
    </row>
    <row r="25" spans="1:8" ht="15.75" customHeight="1">
      <c r="A25" s="8">
        <v>24</v>
      </c>
      <c r="B25" s="5"/>
      <c r="C25" s="5"/>
      <c r="D25" s="6" t="e">
        <f t="shared" si="0"/>
        <v>#DIV/0!</v>
      </c>
      <c r="E25" s="7"/>
      <c r="F25" s="7"/>
      <c r="G25" s="7"/>
      <c r="H25" s="7"/>
    </row>
    <row r="26" spans="1:8" ht="15.75" customHeight="1">
      <c r="A26" s="8">
        <v>25</v>
      </c>
      <c r="B26" s="5"/>
      <c r="C26" s="5"/>
      <c r="D26" s="6" t="e">
        <f t="shared" si="0"/>
        <v>#DIV/0!</v>
      </c>
      <c r="E26" s="7"/>
      <c r="F26" s="7"/>
      <c r="G26" s="7"/>
      <c r="H26" s="7"/>
    </row>
    <row r="27" spans="1:8" ht="15.75" customHeight="1">
      <c r="A27" s="4" t="s">
        <v>10</v>
      </c>
      <c r="B27" s="5" t="e">
        <f t="shared" ref="B27:D27" si="1">AVERAGE(B2:B26)</f>
        <v>#DIV/0!</v>
      </c>
      <c r="C27" s="5" t="e">
        <f t="shared" si="1"/>
        <v>#DIV/0!</v>
      </c>
      <c r="D27" s="9" t="e">
        <f t="shared" si="1"/>
        <v>#DIV/0!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0</v>
      </c>
      <c r="C28" s="5">
        <f t="shared" si="2"/>
        <v>0</v>
      </c>
      <c r="D28" s="9" t="e">
        <f t="shared" si="2"/>
        <v>#DIV/0!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0</v>
      </c>
      <c r="C29" s="5">
        <f t="shared" si="3"/>
        <v>0</v>
      </c>
      <c r="D29" s="9" t="e">
        <f t="shared" si="3"/>
        <v>#DIV/0!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5"/>
      <c r="C33" s="5"/>
      <c r="D33" s="11"/>
      <c r="E33" s="5"/>
      <c r="F33" s="7"/>
      <c r="G33" s="7"/>
      <c r="H33" s="7"/>
    </row>
    <row r="34" spans="1:8" ht="15.75" customHeight="1">
      <c r="A34" s="4">
        <v>2</v>
      </c>
      <c r="B34" s="5"/>
      <c r="C34" s="5"/>
      <c r="D34" s="11"/>
      <c r="E34" s="5"/>
      <c r="F34" s="7"/>
      <c r="G34" s="7"/>
      <c r="H34" s="7"/>
    </row>
    <row r="35" spans="1:8" ht="15.75" customHeight="1">
      <c r="A35" s="4">
        <v>3</v>
      </c>
      <c r="B35" s="5"/>
      <c r="C35" s="5"/>
      <c r="D35" s="11"/>
      <c r="E35" s="7"/>
      <c r="F35" s="7"/>
      <c r="G35" s="7"/>
      <c r="H35" s="7"/>
    </row>
    <row r="36" spans="1:8" ht="15.75" customHeight="1">
      <c r="A36" s="4">
        <v>4</v>
      </c>
      <c r="B36" s="5"/>
      <c r="C36" s="5"/>
      <c r="D36" s="11"/>
      <c r="E36" s="5"/>
      <c r="F36" s="7"/>
      <c r="G36" s="7"/>
      <c r="H36" s="7"/>
    </row>
    <row r="37" spans="1:8" ht="15.75" customHeight="1">
      <c r="A37" s="4">
        <v>5</v>
      </c>
      <c r="B37" s="5"/>
      <c r="C37" s="5"/>
      <c r="D37" s="11"/>
      <c r="E37" s="5"/>
      <c r="F37" s="7"/>
      <c r="G37" s="7"/>
      <c r="H37" s="7"/>
    </row>
    <row r="38" spans="1:8" ht="15.75" customHeight="1">
      <c r="A38" s="4">
        <v>6</v>
      </c>
      <c r="B38" s="5"/>
      <c r="C38" s="5"/>
      <c r="D38" s="11"/>
      <c r="E38" s="5"/>
      <c r="F38" s="7"/>
      <c r="G38" s="7"/>
      <c r="H38" s="7"/>
    </row>
    <row r="39" spans="1:8" ht="15.75" customHeight="1">
      <c r="A39" s="4">
        <v>7</v>
      </c>
      <c r="B39" s="5"/>
      <c r="C39" s="5"/>
      <c r="D39" s="11"/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 t="e">
        <f t="shared" ref="B58:C58" si="4">AVERAGE(B33:B57)</f>
        <v>#DIV/0!</v>
      </c>
      <c r="C58" s="5" t="e">
        <f t="shared" si="4"/>
        <v>#DIV/0!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0</v>
      </c>
      <c r="C59" s="5">
        <f t="shared" si="5"/>
        <v>0</v>
      </c>
      <c r="D59" s="11">
        <f t="shared" si="5"/>
        <v>0</v>
      </c>
      <c r="E59" s="7"/>
      <c r="F59" s="7"/>
      <c r="G59" s="7"/>
      <c r="H59" s="7"/>
    </row>
    <row r="60" spans="1:8" ht="14">
      <c r="A60" s="4" t="s">
        <v>12</v>
      </c>
      <c r="B60" s="5" t="e">
        <f t="shared" ref="B60:D60" si="6">MAX(B34:B58)</f>
        <v>#DIV/0!</v>
      </c>
      <c r="C60" s="5" t="e">
        <f t="shared" si="6"/>
        <v>#DIV/0!</v>
      </c>
      <c r="D60" s="11">
        <f t="shared" si="6"/>
        <v>0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I1006"/>
  <sheetViews>
    <sheetView workbookViewId="0"/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9.5</v>
      </c>
      <c r="C2" s="17">
        <v>8</v>
      </c>
      <c r="D2" s="6">
        <f t="shared" ref="D2:D26" si="0">B2/C2</f>
        <v>1.1875</v>
      </c>
      <c r="E2" s="7"/>
      <c r="F2" s="7"/>
      <c r="G2" s="7"/>
      <c r="H2" s="7"/>
      <c r="I2" s="1" t="s">
        <v>48</v>
      </c>
    </row>
    <row r="3" spans="1:9" ht="15.75" customHeight="1">
      <c r="A3" s="4">
        <v>2</v>
      </c>
      <c r="B3" s="17">
        <v>8.5</v>
      </c>
      <c r="C3" s="17">
        <v>8.5</v>
      </c>
      <c r="D3" s="6">
        <f t="shared" si="0"/>
        <v>1</v>
      </c>
      <c r="E3" s="7"/>
      <c r="F3" s="7"/>
      <c r="G3" s="7"/>
      <c r="H3" s="7"/>
    </row>
    <row r="4" spans="1:9" ht="15.75" customHeight="1">
      <c r="A4" s="4">
        <v>3</v>
      </c>
      <c r="B4" s="17">
        <v>9</v>
      </c>
      <c r="C4" s="17">
        <v>8.5</v>
      </c>
      <c r="D4" s="6">
        <f t="shared" si="0"/>
        <v>1.0588235294117647</v>
      </c>
      <c r="E4" s="7"/>
      <c r="F4" s="7"/>
      <c r="G4" s="7"/>
      <c r="H4" s="7"/>
    </row>
    <row r="5" spans="1:9" ht="15.75" customHeight="1">
      <c r="A5" s="4">
        <v>4</v>
      </c>
      <c r="B5" s="17">
        <v>9</v>
      </c>
      <c r="C5" s="17">
        <v>9</v>
      </c>
      <c r="D5" s="6">
        <f t="shared" si="0"/>
        <v>1</v>
      </c>
      <c r="E5" s="7"/>
      <c r="F5" s="7"/>
      <c r="G5" s="7"/>
      <c r="H5" s="7"/>
    </row>
    <row r="6" spans="1:9" ht="15.75" customHeight="1">
      <c r="A6" s="4">
        <v>5</v>
      </c>
      <c r="B6" s="17">
        <v>10</v>
      </c>
      <c r="C6" s="17">
        <v>10</v>
      </c>
      <c r="D6" s="6">
        <f t="shared" si="0"/>
        <v>1</v>
      </c>
      <c r="E6" s="7"/>
      <c r="F6" s="7"/>
      <c r="G6" s="7"/>
      <c r="H6" s="7"/>
    </row>
    <row r="7" spans="1:9" ht="15.75" customHeight="1">
      <c r="A7" s="4">
        <v>6</v>
      </c>
      <c r="B7" s="17">
        <v>8</v>
      </c>
      <c r="C7" s="17">
        <v>8</v>
      </c>
      <c r="D7" s="6">
        <f t="shared" si="0"/>
        <v>1</v>
      </c>
      <c r="E7" s="7"/>
      <c r="F7" s="7"/>
      <c r="G7" s="7"/>
      <c r="H7" s="7"/>
    </row>
    <row r="8" spans="1:9" ht="15.75" customHeight="1">
      <c r="A8" s="4">
        <v>7</v>
      </c>
      <c r="B8" s="17">
        <v>9</v>
      </c>
      <c r="C8" s="17">
        <v>8.5</v>
      </c>
      <c r="D8" s="6">
        <f t="shared" si="0"/>
        <v>1.0588235294117647</v>
      </c>
      <c r="E8" s="7"/>
      <c r="F8" s="7"/>
      <c r="G8" s="7"/>
      <c r="H8" s="7"/>
    </row>
    <row r="9" spans="1:9" ht="15.75" customHeight="1">
      <c r="A9" s="4">
        <v>8</v>
      </c>
      <c r="B9" s="17">
        <v>8.5</v>
      </c>
      <c r="C9" s="17">
        <v>8.5</v>
      </c>
      <c r="D9" s="6">
        <f t="shared" si="0"/>
        <v>1</v>
      </c>
      <c r="E9" s="7"/>
      <c r="F9" s="7"/>
      <c r="G9" s="7"/>
      <c r="H9" s="7"/>
    </row>
    <row r="10" spans="1:9" ht="15.75" customHeight="1">
      <c r="A10" s="4">
        <v>9</v>
      </c>
      <c r="B10" s="17">
        <v>9</v>
      </c>
      <c r="C10" s="17">
        <v>8.5</v>
      </c>
      <c r="D10" s="6">
        <f t="shared" si="0"/>
        <v>1.0588235294117647</v>
      </c>
      <c r="E10" s="7"/>
      <c r="F10" s="7"/>
      <c r="G10" s="7"/>
      <c r="H10" s="7"/>
    </row>
    <row r="11" spans="1:9" ht="15.75" customHeight="1">
      <c r="A11" s="4">
        <v>10</v>
      </c>
      <c r="B11" s="17">
        <v>9</v>
      </c>
      <c r="C11" s="17">
        <v>8.5</v>
      </c>
      <c r="D11" s="6">
        <f t="shared" si="0"/>
        <v>1.0588235294117647</v>
      </c>
      <c r="E11" s="7"/>
      <c r="F11" s="7"/>
      <c r="G11" s="7"/>
      <c r="H11" s="7"/>
    </row>
    <row r="12" spans="1:9" ht="15.75" customHeight="1">
      <c r="A12" s="8">
        <v>11</v>
      </c>
      <c r="B12" s="17">
        <v>9.5</v>
      </c>
      <c r="C12" s="17">
        <v>8.5</v>
      </c>
      <c r="D12" s="6">
        <f t="shared" si="0"/>
        <v>1.1176470588235294</v>
      </c>
      <c r="E12" s="7"/>
      <c r="F12" s="7"/>
      <c r="G12" s="7"/>
      <c r="H12" s="7"/>
    </row>
    <row r="13" spans="1:9" ht="15.75" customHeight="1">
      <c r="A13" s="8">
        <v>12</v>
      </c>
      <c r="B13" s="17">
        <v>9.5</v>
      </c>
      <c r="C13" s="17">
        <v>9.5</v>
      </c>
      <c r="D13" s="6">
        <f t="shared" si="0"/>
        <v>1</v>
      </c>
      <c r="E13" s="7"/>
      <c r="F13" s="7"/>
      <c r="G13" s="7"/>
      <c r="H13" s="7"/>
    </row>
    <row r="14" spans="1:9" ht="15.75" customHeight="1">
      <c r="A14" s="8">
        <v>13</v>
      </c>
      <c r="B14" s="17">
        <v>10</v>
      </c>
      <c r="C14" s="17">
        <v>9</v>
      </c>
      <c r="D14" s="6">
        <f t="shared" si="0"/>
        <v>1.1111111111111112</v>
      </c>
      <c r="E14" s="7"/>
      <c r="F14" s="7"/>
      <c r="G14" s="7"/>
      <c r="H14" s="7"/>
    </row>
    <row r="15" spans="1:9" ht="15.75" customHeight="1">
      <c r="A15" s="8">
        <v>14</v>
      </c>
      <c r="B15" s="17">
        <v>9.5</v>
      </c>
      <c r="C15" s="17">
        <v>9.5</v>
      </c>
      <c r="D15" s="6">
        <f t="shared" si="0"/>
        <v>1</v>
      </c>
      <c r="E15" s="7"/>
      <c r="F15" s="7"/>
      <c r="G15" s="7"/>
      <c r="H15" s="7"/>
    </row>
    <row r="16" spans="1:9" ht="15.75" customHeight="1">
      <c r="A16" s="8">
        <v>15</v>
      </c>
      <c r="B16" s="17">
        <v>9.5</v>
      </c>
      <c r="C16" s="17">
        <v>8.5</v>
      </c>
      <c r="D16" s="6">
        <f t="shared" si="0"/>
        <v>1.1176470588235294</v>
      </c>
      <c r="E16" s="7"/>
      <c r="F16" s="7"/>
      <c r="G16" s="7"/>
      <c r="H16" s="7"/>
    </row>
    <row r="17" spans="1:9" ht="15.75" customHeight="1">
      <c r="A17" s="8">
        <v>16</v>
      </c>
      <c r="B17" s="17">
        <v>9</v>
      </c>
      <c r="C17" s="17">
        <v>9</v>
      </c>
      <c r="D17" s="6">
        <f t="shared" si="0"/>
        <v>1</v>
      </c>
      <c r="E17" s="7"/>
      <c r="F17" s="7"/>
      <c r="G17" s="7"/>
      <c r="H17" s="7"/>
      <c r="I17" s="1" t="s">
        <v>49</v>
      </c>
    </row>
    <row r="18" spans="1:9" ht="15.75" customHeight="1">
      <c r="A18" s="8">
        <v>17</v>
      </c>
      <c r="B18" s="17">
        <v>9</v>
      </c>
      <c r="C18" s="17">
        <v>9</v>
      </c>
      <c r="D18" s="6">
        <f t="shared" si="0"/>
        <v>1</v>
      </c>
      <c r="E18" s="7"/>
      <c r="F18" s="7"/>
      <c r="G18" s="7"/>
      <c r="H18" s="7"/>
    </row>
    <row r="19" spans="1:9" ht="15.75" customHeight="1">
      <c r="A19" s="8">
        <v>18</v>
      </c>
      <c r="B19" s="17">
        <v>9</v>
      </c>
      <c r="C19" s="17">
        <v>9</v>
      </c>
      <c r="D19" s="6">
        <f t="shared" si="0"/>
        <v>1</v>
      </c>
      <c r="E19" s="7"/>
      <c r="F19" s="7"/>
      <c r="G19" s="7"/>
      <c r="H19" s="7"/>
    </row>
    <row r="20" spans="1:9" ht="15.75" customHeight="1">
      <c r="A20" s="8">
        <v>19</v>
      </c>
      <c r="B20" s="17">
        <v>10</v>
      </c>
      <c r="C20" s="17">
        <v>9</v>
      </c>
      <c r="D20" s="6">
        <f t="shared" si="0"/>
        <v>1.1111111111111112</v>
      </c>
      <c r="E20" s="7"/>
      <c r="F20" s="7"/>
      <c r="G20" s="7"/>
      <c r="H20" s="7"/>
    </row>
    <row r="21" spans="1:9" ht="15.75" customHeight="1">
      <c r="A21" s="8">
        <v>20</v>
      </c>
      <c r="B21" s="17">
        <v>9</v>
      </c>
      <c r="C21" s="17">
        <v>8.5</v>
      </c>
      <c r="D21" s="6">
        <f t="shared" si="0"/>
        <v>1.0588235294117647</v>
      </c>
      <c r="E21" s="7"/>
      <c r="F21" s="7"/>
      <c r="G21" s="7"/>
      <c r="H21" s="7"/>
    </row>
    <row r="22" spans="1:9" ht="15.75" customHeight="1">
      <c r="A22" s="8">
        <v>21</v>
      </c>
      <c r="B22" s="5"/>
      <c r="C22" s="5"/>
      <c r="D22" s="6" t="e">
        <f t="shared" si="0"/>
        <v>#DIV/0!</v>
      </c>
      <c r="E22" s="7"/>
      <c r="F22" s="7"/>
      <c r="G22" s="7"/>
      <c r="H22" s="7"/>
    </row>
    <row r="23" spans="1:9" ht="15.75" customHeight="1">
      <c r="A23" s="8">
        <v>22</v>
      </c>
      <c r="B23" s="5"/>
      <c r="C23" s="5"/>
      <c r="D23" s="6" t="e">
        <f t="shared" si="0"/>
        <v>#DIV/0!</v>
      </c>
      <c r="E23" s="7"/>
      <c r="F23" s="7"/>
      <c r="G23" s="7"/>
      <c r="H23" s="7"/>
    </row>
    <row r="24" spans="1:9" ht="15.75" customHeight="1">
      <c r="A24" s="8">
        <v>23</v>
      </c>
      <c r="B24" s="5"/>
      <c r="C24" s="5"/>
      <c r="D24" s="6" t="e">
        <f t="shared" si="0"/>
        <v>#DIV/0!</v>
      </c>
      <c r="E24" s="7"/>
      <c r="F24" s="7"/>
      <c r="G24" s="7"/>
      <c r="H24" s="7"/>
    </row>
    <row r="25" spans="1:9" ht="15.75" customHeight="1">
      <c r="A25" s="8">
        <v>24</v>
      </c>
      <c r="B25" s="5"/>
      <c r="C25" s="5"/>
      <c r="D25" s="6" t="e">
        <f t="shared" si="0"/>
        <v>#DIV/0!</v>
      </c>
      <c r="E25" s="7"/>
      <c r="F25" s="7"/>
      <c r="G25" s="7"/>
      <c r="H25" s="7"/>
    </row>
    <row r="26" spans="1:9" ht="15.75" customHeight="1">
      <c r="A26" s="8">
        <v>25</v>
      </c>
      <c r="B26" s="5"/>
      <c r="C26" s="5"/>
      <c r="D26" s="6" t="e">
        <f t="shared" si="0"/>
        <v>#DIV/0!</v>
      </c>
      <c r="E26" s="7"/>
      <c r="F26" s="7"/>
      <c r="G26" s="7"/>
      <c r="H26" s="7"/>
    </row>
    <row r="27" spans="1:9" ht="15.75" customHeight="1">
      <c r="A27" s="4" t="s">
        <v>10</v>
      </c>
      <c r="B27" s="5">
        <f t="shared" ref="B27:D27" si="1">AVERAGE(B2:B26)</f>
        <v>9.1750000000000007</v>
      </c>
      <c r="C27" s="5">
        <f t="shared" si="1"/>
        <v>8.7750000000000004</v>
      </c>
      <c r="D27" s="9" t="e">
        <f t="shared" si="1"/>
        <v>#DIV/0!</v>
      </c>
      <c r="E27" s="7"/>
      <c r="F27" s="7"/>
      <c r="G27" s="7"/>
      <c r="H27" s="7"/>
    </row>
    <row r="28" spans="1:9" ht="15.75" customHeight="1">
      <c r="A28" s="4" t="s">
        <v>11</v>
      </c>
      <c r="B28" s="5">
        <f t="shared" ref="B28:D28" si="2">MIN(B3:B26)</f>
        <v>8</v>
      </c>
      <c r="C28" s="5">
        <f t="shared" si="2"/>
        <v>8</v>
      </c>
      <c r="D28" s="9" t="e">
        <f t="shared" si="2"/>
        <v>#DIV/0!</v>
      </c>
      <c r="E28" s="7"/>
      <c r="F28" s="7"/>
      <c r="G28" s="7"/>
      <c r="H28" s="7"/>
    </row>
    <row r="29" spans="1:9" ht="15.75" customHeight="1">
      <c r="A29" s="4" t="s">
        <v>12</v>
      </c>
      <c r="B29" s="5">
        <f t="shared" ref="B29:D29" si="3">MAX(B4:B26)</f>
        <v>10</v>
      </c>
      <c r="C29" s="5">
        <f t="shared" si="3"/>
        <v>10</v>
      </c>
      <c r="D29" s="9" t="e">
        <f t="shared" si="3"/>
        <v>#DIV/0!</v>
      </c>
      <c r="E29" s="7"/>
      <c r="F29" s="7"/>
      <c r="G29" s="7"/>
      <c r="H29" s="7"/>
    </row>
    <row r="30" spans="1:9" ht="15.75" customHeight="1">
      <c r="A30" s="2"/>
      <c r="B30" s="7"/>
      <c r="C30" s="7"/>
      <c r="D30" s="10"/>
      <c r="E30" s="7"/>
      <c r="F30" s="7"/>
      <c r="G30" s="7"/>
      <c r="H30" s="7"/>
    </row>
    <row r="31" spans="1:9" ht="15.75" customHeight="1">
      <c r="A31" s="2"/>
      <c r="B31" s="7"/>
      <c r="C31" s="7"/>
      <c r="D31" s="10"/>
      <c r="E31" s="7"/>
      <c r="F31" s="7"/>
      <c r="G31" s="7"/>
      <c r="H31" s="7"/>
    </row>
    <row r="32" spans="1:9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5"/>
      <c r="C33" s="5"/>
      <c r="D33" s="13">
        <v>1</v>
      </c>
      <c r="E33" s="5"/>
      <c r="F33" s="7"/>
      <c r="G33" s="7"/>
      <c r="H33" s="14" t="s">
        <v>50</v>
      </c>
    </row>
    <row r="34" spans="1:8" ht="15.75" customHeight="1">
      <c r="A34" s="4">
        <v>2</v>
      </c>
      <c r="B34" s="5"/>
      <c r="C34" s="5"/>
      <c r="D34" s="13">
        <v>1</v>
      </c>
      <c r="E34" s="5"/>
      <c r="F34" s="7"/>
      <c r="G34" s="7"/>
      <c r="H34" s="14" t="s">
        <v>51</v>
      </c>
    </row>
    <row r="35" spans="1:8" ht="15.75" customHeight="1">
      <c r="A35" s="4">
        <v>3</v>
      </c>
      <c r="B35" s="17">
        <v>32</v>
      </c>
      <c r="C35" s="17">
        <v>9</v>
      </c>
      <c r="D35" s="13">
        <v>1</v>
      </c>
      <c r="E35" s="7"/>
      <c r="F35" s="7"/>
      <c r="G35" s="7"/>
      <c r="H35" s="14" t="s">
        <v>52</v>
      </c>
    </row>
    <row r="36" spans="1:8" ht="15.75" customHeight="1">
      <c r="A36" s="4">
        <v>4</v>
      </c>
      <c r="B36" s="5"/>
      <c r="C36" s="5"/>
      <c r="D36" s="13">
        <v>1</v>
      </c>
      <c r="E36" s="5"/>
      <c r="F36" s="7"/>
      <c r="G36" s="7"/>
      <c r="H36" s="7"/>
    </row>
    <row r="37" spans="1:8" ht="15.75" customHeight="1">
      <c r="A37" s="4">
        <v>5</v>
      </c>
      <c r="B37" s="5"/>
      <c r="C37" s="5"/>
      <c r="D37" s="13">
        <v>1</v>
      </c>
      <c r="E37" s="5"/>
      <c r="F37" s="7"/>
      <c r="G37" s="7"/>
      <c r="H37" s="14" t="s">
        <v>53</v>
      </c>
    </row>
    <row r="38" spans="1:8" ht="15.75" customHeight="1">
      <c r="A38" s="4">
        <v>6</v>
      </c>
      <c r="B38" s="5"/>
      <c r="C38" s="5"/>
      <c r="D38" s="11"/>
      <c r="E38" s="5"/>
      <c r="F38" s="7"/>
      <c r="G38" s="7"/>
      <c r="H38" s="7"/>
    </row>
    <row r="39" spans="1:8" ht="15.75" customHeight="1">
      <c r="A39" s="4">
        <v>7</v>
      </c>
      <c r="B39" s="5"/>
      <c r="C39" s="5"/>
      <c r="D39" s="11"/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32</v>
      </c>
      <c r="C58" s="5">
        <f t="shared" si="4"/>
        <v>9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32</v>
      </c>
      <c r="C59" s="5">
        <f t="shared" si="5"/>
        <v>9</v>
      </c>
      <c r="D59" s="11">
        <f t="shared" si="5"/>
        <v>1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32</v>
      </c>
      <c r="C60" s="5">
        <f t="shared" si="6"/>
        <v>9</v>
      </c>
      <c r="D60" s="11">
        <f t="shared" si="6"/>
        <v>1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H1006"/>
  <sheetViews>
    <sheetView workbookViewId="0"/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7.5</v>
      </c>
      <c r="C2" s="17">
        <v>7.5</v>
      </c>
      <c r="D2" s="6">
        <f t="shared" ref="D2:D26" si="0">B2/C2</f>
        <v>1</v>
      </c>
      <c r="E2" s="7"/>
      <c r="F2" s="7"/>
      <c r="G2" s="7"/>
      <c r="H2" s="7"/>
    </row>
    <row r="3" spans="1:8" ht="15.75" customHeight="1">
      <c r="A3" s="4">
        <v>2</v>
      </c>
      <c r="B3" s="17">
        <v>8.5</v>
      </c>
      <c r="C3" s="17">
        <v>8</v>
      </c>
      <c r="D3" s="6">
        <f t="shared" si="0"/>
        <v>1.0625</v>
      </c>
      <c r="E3" s="7"/>
      <c r="F3" s="7"/>
      <c r="G3" s="7"/>
      <c r="H3" s="7"/>
    </row>
    <row r="4" spans="1:8" ht="15.75" customHeight="1">
      <c r="A4" s="4">
        <v>3</v>
      </c>
      <c r="B4" s="17">
        <v>7.5</v>
      </c>
      <c r="C4" s="17">
        <v>7</v>
      </c>
      <c r="D4" s="6">
        <f t="shared" si="0"/>
        <v>1.0714285714285714</v>
      </c>
      <c r="E4" s="7"/>
      <c r="F4" s="7"/>
      <c r="G4" s="7"/>
      <c r="H4" s="7"/>
    </row>
    <row r="5" spans="1:8" ht="15.75" customHeight="1">
      <c r="A5" s="4">
        <v>4</v>
      </c>
      <c r="B5" s="17">
        <v>8.5</v>
      </c>
      <c r="C5" s="17">
        <v>9</v>
      </c>
      <c r="D5" s="6">
        <f t="shared" si="0"/>
        <v>0.94444444444444442</v>
      </c>
      <c r="E5" s="7"/>
      <c r="F5" s="7"/>
      <c r="G5" s="7"/>
      <c r="H5" s="7"/>
    </row>
    <row r="6" spans="1:8" ht="15.75" customHeight="1">
      <c r="A6" s="4">
        <v>5</v>
      </c>
      <c r="B6" s="17">
        <v>8</v>
      </c>
      <c r="C6" s="17">
        <v>8</v>
      </c>
      <c r="D6" s="6">
        <f t="shared" si="0"/>
        <v>1</v>
      </c>
      <c r="E6" s="7"/>
      <c r="F6" s="7"/>
      <c r="G6" s="7"/>
      <c r="H6" s="7"/>
    </row>
    <row r="7" spans="1:8" ht="15.75" customHeight="1">
      <c r="A7" s="4">
        <v>6</v>
      </c>
      <c r="B7" s="17">
        <v>8</v>
      </c>
      <c r="C7" s="17">
        <v>7.5</v>
      </c>
      <c r="D7" s="6">
        <f t="shared" si="0"/>
        <v>1.0666666666666667</v>
      </c>
      <c r="E7" s="7"/>
      <c r="F7" s="7"/>
      <c r="G7" s="7"/>
      <c r="H7" s="7"/>
    </row>
    <row r="8" spans="1:8" ht="15.75" customHeight="1">
      <c r="A8" s="4">
        <v>7</v>
      </c>
      <c r="B8" s="17">
        <v>8</v>
      </c>
      <c r="C8" s="17">
        <v>7.5</v>
      </c>
      <c r="D8" s="6">
        <f t="shared" si="0"/>
        <v>1.0666666666666667</v>
      </c>
      <c r="E8" s="7"/>
      <c r="F8" s="7"/>
      <c r="G8" s="7"/>
      <c r="H8" s="7"/>
    </row>
    <row r="9" spans="1:8" ht="15.75" customHeight="1">
      <c r="A9" s="4">
        <v>8</v>
      </c>
      <c r="B9" s="17">
        <v>8</v>
      </c>
      <c r="C9" s="17">
        <v>8</v>
      </c>
      <c r="D9" s="6">
        <f t="shared" si="0"/>
        <v>1</v>
      </c>
      <c r="E9" s="7"/>
      <c r="F9" s="7"/>
      <c r="G9" s="7"/>
      <c r="H9" s="7"/>
    </row>
    <row r="10" spans="1:8" ht="15.75" customHeight="1">
      <c r="A10" s="4">
        <v>9</v>
      </c>
      <c r="B10" s="17">
        <v>8.5</v>
      </c>
      <c r="C10" s="17">
        <v>8</v>
      </c>
      <c r="D10" s="6">
        <f t="shared" si="0"/>
        <v>1.0625</v>
      </c>
      <c r="E10" s="7"/>
      <c r="F10" s="7"/>
      <c r="G10" s="7"/>
      <c r="H10" s="7"/>
    </row>
    <row r="11" spans="1:8" ht="15.75" customHeight="1">
      <c r="A11" s="4">
        <v>10</v>
      </c>
      <c r="B11" s="17">
        <v>8.5</v>
      </c>
      <c r="C11" s="17">
        <v>8</v>
      </c>
      <c r="D11" s="6">
        <f t="shared" si="0"/>
        <v>1.0625</v>
      </c>
      <c r="E11" s="7"/>
      <c r="F11" s="7"/>
      <c r="G11" s="7"/>
      <c r="H11" s="7"/>
    </row>
    <row r="12" spans="1:8" ht="15.75" customHeight="1">
      <c r="A12" s="8">
        <v>11</v>
      </c>
      <c r="B12" s="17">
        <v>7.5</v>
      </c>
      <c r="C12" s="17">
        <v>7</v>
      </c>
      <c r="D12" s="6">
        <f t="shared" si="0"/>
        <v>1.0714285714285714</v>
      </c>
      <c r="E12" s="7"/>
      <c r="F12" s="7"/>
      <c r="G12" s="7"/>
      <c r="H12" s="7"/>
    </row>
    <row r="13" spans="1:8" ht="15.75" customHeight="1">
      <c r="A13" s="8">
        <v>12</v>
      </c>
      <c r="B13" s="17">
        <v>7.5</v>
      </c>
      <c r="C13" s="17">
        <v>7.5</v>
      </c>
      <c r="D13" s="6">
        <f t="shared" si="0"/>
        <v>1</v>
      </c>
      <c r="E13" s="7"/>
      <c r="F13" s="7"/>
      <c r="G13" s="7"/>
      <c r="H13" s="7"/>
    </row>
    <row r="14" spans="1:8" ht="15.75" customHeight="1">
      <c r="A14" s="8">
        <v>13</v>
      </c>
      <c r="B14" s="17">
        <v>8.5</v>
      </c>
      <c r="C14" s="17">
        <v>8.5</v>
      </c>
      <c r="D14" s="6">
        <f t="shared" si="0"/>
        <v>1</v>
      </c>
      <c r="E14" s="7"/>
      <c r="F14" s="7"/>
      <c r="G14" s="7"/>
      <c r="H14" s="7"/>
    </row>
    <row r="15" spans="1:8" ht="15.75" customHeight="1">
      <c r="A15" s="8">
        <v>14</v>
      </c>
      <c r="B15" s="17">
        <v>9</v>
      </c>
      <c r="C15" s="17">
        <v>8</v>
      </c>
      <c r="D15" s="6">
        <f t="shared" si="0"/>
        <v>1.125</v>
      </c>
      <c r="E15" s="7"/>
      <c r="F15" s="7"/>
      <c r="G15" s="7"/>
      <c r="H15" s="7"/>
    </row>
    <row r="16" spans="1:8" ht="15.75" customHeight="1">
      <c r="A16" s="8">
        <v>15</v>
      </c>
      <c r="B16" s="17">
        <v>7</v>
      </c>
      <c r="C16" s="17">
        <v>7</v>
      </c>
      <c r="D16" s="6">
        <f t="shared" si="0"/>
        <v>1</v>
      </c>
      <c r="E16" s="7"/>
      <c r="F16" s="7"/>
      <c r="G16" s="7"/>
      <c r="H16" s="7"/>
    </row>
    <row r="17" spans="1:8" ht="15.75" customHeight="1">
      <c r="A17" s="8">
        <v>16</v>
      </c>
      <c r="B17" s="17">
        <v>8.5</v>
      </c>
      <c r="C17" s="17">
        <v>8</v>
      </c>
      <c r="D17" s="6">
        <f t="shared" si="0"/>
        <v>1.0625</v>
      </c>
      <c r="E17" s="7"/>
      <c r="F17" s="7"/>
      <c r="G17" s="7"/>
      <c r="H17" s="7"/>
    </row>
    <row r="18" spans="1:8" ht="15.75" customHeight="1">
      <c r="A18" s="8">
        <v>17</v>
      </c>
      <c r="B18" s="17">
        <v>8.5</v>
      </c>
      <c r="C18" s="17">
        <v>8</v>
      </c>
      <c r="D18" s="6">
        <f t="shared" si="0"/>
        <v>1.0625</v>
      </c>
      <c r="E18" s="7"/>
      <c r="F18" s="7"/>
      <c r="G18" s="7"/>
      <c r="H18" s="7"/>
    </row>
    <row r="19" spans="1:8" ht="15.75" customHeight="1">
      <c r="A19" s="8">
        <v>18</v>
      </c>
      <c r="B19" s="17">
        <v>8.5</v>
      </c>
      <c r="C19" s="17">
        <v>8</v>
      </c>
      <c r="D19" s="6">
        <f t="shared" si="0"/>
        <v>1.0625</v>
      </c>
      <c r="E19" s="7"/>
      <c r="F19" s="7"/>
      <c r="G19" s="7"/>
      <c r="H19" s="7"/>
    </row>
    <row r="20" spans="1:8" ht="15.75" customHeight="1">
      <c r="A20" s="8">
        <v>19</v>
      </c>
      <c r="B20" s="17">
        <v>9</v>
      </c>
      <c r="C20" s="17">
        <v>8.5</v>
      </c>
      <c r="D20" s="6">
        <f t="shared" si="0"/>
        <v>1.0588235294117647</v>
      </c>
      <c r="E20" s="7"/>
      <c r="F20" s="7"/>
      <c r="G20" s="7"/>
      <c r="H20" s="7"/>
    </row>
    <row r="21" spans="1:8" ht="15.75" customHeight="1">
      <c r="A21" s="8">
        <v>20</v>
      </c>
      <c r="B21" s="17">
        <v>9.5</v>
      </c>
      <c r="C21" s="17">
        <v>9</v>
      </c>
      <c r="D21" s="6">
        <f t="shared" si="0"/>
        <v>1.0555555555555556</v>
      </c>
      <c r="E21" s="7"/>
      <c r="F21" s="7"/>
      <c r="G21" s="7"/>
      <c r="H21" s="7"/>
    </row>
    <row r="22" spans="1:8" ht="15.75" customHeight="1">
      <c r="A22" s="8">
        <v>21</v>
      </c>
      <c r="B22" s="17">
        <v>8</v>
      </c>
      <c r="C22" s="17">
        <v>8</v>
      </c>
      <c r="D22" s="6">
        <f t="shared" si="0"/>
        <v>1</v>
      </c>
      <c r="E22" s="7"/>
      <c r="F22" s="7"/>
      <c r="G22" s="7"/>
      <c r="H22" s="7"/>
    </row>
    <row r="23" spans="1:8" ht="15.75" customHeight="1">
      <c r="A23" s="8">
        <v>22</v>
      </c>
      <c r="B23" s="17">
        <v>8</v>
      </c>
      <c r="C23" s="17">
        <v>8</v>
      </c>
      <c r="D23" s="6">
        <f t="shared" si="0"/>
        <v>1</v>
      </c>
      <c r="E23" s="7"/>
      <c r="F23" s="7"/>
      <c r="G23" s="7"/>
      <c r="H23" s="7"/>
    </row>
    <row r="24" spans="1:8" ht="15.75" customHeight="1">
      <c r="A24" s="8">
        <v>23</v>
      </c>
      <c r="B24" s="17">
        <v>8.5</v>
      </c>
      <c r="C24" s="17">
        <v>8</v>
      </c>
      <c r="D24" s="6">
        <f t="shared" si="0"/>
        <v>1.0625</v>
      </c>
      <c r="E24" s="7"/>
      <c r="F24" s="7"/>
      <c r="G24" s="7"/>
      <c r="H24" s="7"/>
    </row>
    <row r="25" spans="1:8" ht="15.75" customHeight="1">
      <c r="A25" s="8">
        <v>24</v>
      </c>
      <c r="B25" s="17">
        <v>8</v>
      </c>
      <c r="C25" s="17">
        <v>7.5</v>
      </c>
      <c r="D25" s="6">
        <f t="shared" si="0"/>
        <v>1.0666666666666667</v>
      </c>
      <c r="E25" s="7"/>
      <c r="F25" s="7"/>
      <c r="G25" s="7"/>
      <c r="H25" s="7"/>
    </row>
    <row r="26" spans="1:8" ht="15.75" customHeight="1">
      <c r="A26" s="8">
        <v>25</v>
      </c>
      <c r="B26" s="17">
        <v>8.5</v>
      </c>
      <c r="C26" s="17">
        <v>7.5</v>
      </c>
      <c r="D26" s="6">
        <f t="shared" si="0"/>
        <v>1.1333333333333333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8.2200000000000006</v>
      </c>
      <c r="C27" s="5">
        <f t="shared" si="1"/>
        <v>7.88</v>
      </c>
      <c r="D27" s="9">
        <f t="shared" si="1"/>
        <v>1.0439005602240896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7</v>
      </c>
      <c r="C28" s="5">
        <f t="shared" si="2"/>
        <v>7</v>
      </c>
      <c r="D28" s="9">
        <f t="shared" si="2"/>
        <v>0.94444444444444442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9.5</v>
      </c>
      <c r="C29" s="5">
        <f t="shared" si="3"/>
        <v>9</v>
      </c>
      <c r="D29" s="9">
        <f t="shared" si="3"/>
        <v>1.1333333333333333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5"/>
      <c r="C33" s="5"/>
      <c r="D33" s="13">
        <v>2</v>
      </c>
      <c r="E33" s="5"/>
      <c r="F33" s="7"/>
      <c r="G33" s="14"/>
      <c r="H33" s="7"/>
    </row>
    <row r="34" spans="1:8" ht="15.75" customHeight="1">
      <c r="A34" s="4">
        <v>2</v>
      </c>
      <c r="B34" s="5"/>
      <c r="C34" s="5"/>
      <c r="D34" s="13">
        <v>4</v>
      </c>
      <c r="E34" s="5"/>
      <c r="F34" s="7"/>
      <c r="G34" s="14"/>
      <c r="H34" s="14"/>
    </row>
    <row r="35" spans="1:8" ht="15.75" customHeight="1">
      <c r="A35" s="4">
        <v>3</v>
      </c>
      <c r="B35" s="5"/>
      <c r="C35" s="5"/>
      <c r="D35" s="13">
        <v>2</v>
      </c>
      <c r="E35" s="7"/>
      <c r="F35" s="7"/>
      <c r="G35" s="7"/>
      <c r="H35" s="7"/>
    </row>
    <row r="36" spans="1:8" ht="15.75" customHeight="1">
      <c r="A36" s="4">
        <v>4</v>
      </c>
      <c r="B36" s="5"/>
      <c r="C36" s="5"/>
      <c r="D36" s="13">
        <v>2</v>
      </c>
      <c r="E36" s="5"/>
      <c r="F36" s="7"/>
      <c r="G36" s="7"/>
      <c r="H36" s="7"/>
    </row>
    <row r="37" spans="1:8" ht="15.75" customHeight="1">
      <c r="A37" s="4">
        <v>5</v>
      </c>
      <c r="B37" s="5"/>
      <c r="C37" s="5"/>
      <c r="D37" s="13">
        <v>2</v>
      </c>
      <c r="E37" s="5"/>
      <c r="F37" s="7"/>
      <c r="G37" s="7"/>
      <c r="H37" s="7"/>
    </row>
    <row r="38" spans="1:8" ht="15.75" customHeight="1">
      <c r="A38" s="4">
        <v>6</v>
      </c>
      <c r="B38" s="5"/>
      <c r="C38" s="5"/>
      <c r="D38" s="13">
        <v>4</v>
      </c>
      <c r="E38" s="5"/>
      <c r="F38" s="7"/>
      <c r="G38" s="7"/>
      <c r="H38" s="7"/>
    </row>
    <row r="39" spans="1:8" ht="15.75" customHeight="1">
      <c r="A39" s="4">
        <v>7</v>
      </c>
      <c r="B39" s="5"/>
      <c r="C39" s="5"/>
      <c r="D39" s="13">
        <v>2</v>
      </c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3">
        <v>2</v>
      </c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3">
        <v>4</v>
      </c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3">
        <v>4</v>
      </c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3">
        <v>4</v>
      </c>
      <c r="E43" s="5"/>
      <c r="F43" s="7"/>
      <c r="G43" s="7"/>
      <c r="H43" s="7"/>
    </row>
    <row r="44" spans="1:8" ht="15.75" customHeight="1">
      <c r="A44" s="8">
        <v>12</v>
      </c>
      <c r="B44" s="1">
        <v>43.5</v>
      </c>
      <c r="C44" s="1">
        <v>12.5</v>
      </c>
      <c r="D44" s="12">
        <v>4</v>
      </c>
      <c r="E44" s="1">
        <v>5.5</v>
      </c>
      <c r="F44" s="7"/>
      <c r="G44" s="7"/>
      <c r="H44" s="7"/>
    </row>
    <row r="45" spans="1:8" ht="15.75" customHeight="1">
      <c r="A45" s="8">
        <v>13</v>
      </c>
      <c r="D45" s="12">
        <v>4</v>
      </c>
      <c r="F45" s="7"/>
      <c r="G45" s="7"/>
      <c r="H45" s="7"/>
    </row>
    <row r="46" spans="1:8" ht="15.75" customHeight="1">
      <c r="A46" s="8">
        <v>14</v>
      </c>
      <c r="D46" s="12">
        <v>2</v>
      </c>
      <c r="F46" s="7"/>
      <c r="G46" s="7"/>
      <c r="H46" s="7"/>
    </row>
    <row r="47" spans="1:8" ht="15.75" customHeight="1">
      <c r="A47" s="8">
        <v>15</v>
      </c>
      <c r="D47" s="12">
        <v>4</v>
      </c>
      <c r="F47" s="7"/>
      <c r="G47" s="7"/>
      <c r="H47" s="7"/>
    </row>
    <row r="48" spans="1:8" ht="15.75" customHeight="1">
      <c r="A48" s="8">
        <v>16</v>
      </c>
      <c r="B48" s="1">
        <v>37</v>
      </c>
      <c r="C48" s="1">
        <v>11.5</v>
      </c>
      <c r="D48" s="12">
        <v>2</v>
      </c>
      <c r="E48" s="1">
        <v>5.5</v>
      </c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40.25</v>
      </c>
      <c r="C58" s="5">
        <f t="shared" si="4"/>
        <v>12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37</v>
      </c>
      <c r="C59" s="5">
        <f t="shared" si="5"/>
        <v>11.5</v>
      </c>
      <c r="D59" s="11">
        <f t="shared" si="5"/>
        <v>2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43.5</v>
      </c>
      <c r="C60" s="5">
        <f t="shared" si="6"/>
        <v>12.5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14">
        <v>100</v>
      </c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7</v>
      </c>
      <c r="C65" s="7"/>
      <c r="D65" s="10"/>
      <c r="E65" s="7"/>
      <c r="F65" s="7"/>
      <c r="G65" s="7"/>
      <c r="H65" s="7"/>
    </row>
    <row r="66" spans="1:8" ht="14">
      <c r="A66" s="2"/>
      <c r="B66" s="14">
        <v>20</v>
      </c>
      <c r="C66" s="7"/>
      <c r="D66" s="10"/>
      <c r="E66" s="7"/>
      <c r="F66" s="7"/>
      <c r="G66" s="7"/>
      <c r="H66" s="7"/>
    </row>
    <row r="67" spans="1:8" ht="14">
      <c r="A67" s="2"/>
      <c r="B67" s="14">
        <v>10</v>
      </c>
      <c r="C67" s="7"/>
      <c r="D67" s="10"/>
      <c r="E67" s="7"/>
      <c r="F67" s="7"/>
      <c r="G67" s="7"/>
      <c r="H67" s="7"/>
    </row>
    <row r="68" spans="1:8" ht="14">
      <c r="A68" s="2"/>
      <c r="B68" s="14">
        <v>9</v>
      </c>
      <c r="C68" s="7"/>
      <c r="D68" s="10"/>
      <c r="E68" s="7"/>
      <c r="F68" s="7"/>
      <c r="G68" s="7"/>
      <c r="H68" s="7"/>
    </row>
    <row r="69" spans="1:8" ht="14">
      <c r="A69" s="2"/>
      <c r="B69" s="14">
        <v>8</v>
      </c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39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I1006"/>
  <sheetViews>
    <sheetView workbookViewId="0"/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11</v>
      </c>
      <c r="C2" s="17">
        <v>12</v>
      </c>
      <c r="D2" s="6">
        <f t="shared" ref="D2:D26" si="0">B2/C2</f>
        <v>0.91666666666666663</v>
      </c>
      <c r="E2" s="7"/>
      <c r="F2" s="7"/>
      <c r="G2" s="7"/>
      <c r="H2" s="7"/>
    </row>
    <row r="3" spans="1:9" ht="15.75" customHeight="1">
      <c r="A3" s="4">
        <v>2</v>
      </c>
      <c r="B3" s="17">
        <v>11</v>
      </c>
      <c r="C3" s="17">
        <v>11.5</v>
      </c>
      <c r="D3" s="6">
        <f t="shared" si="0"/>
        <v>0.95652173913043481</v>
      </c>
      <c r="E3" s="7"/>
      <c r="F3" s="7"/>
      <c r="G3" s="7"/>
      <c r="H3" s="7"/>
      <c r="I3" s="1" t="s">
        <v>54</v>
      </c>
    </row>
    <row r="4" spans="1:9" ht="15.75" customHeight="1">
      <c r="A4" s="4">
        <v>3</v>
      </c>
      <c r="B4" s="17">
        <v>11</v>
      </c>
      <c r="C4" s="17">
        <v>11</v>
      </c>
      <c r="D4" s="6">
        <f t="shared" si="0"/>
        <v>1</v>
      </c>
      <c r="E4" s="7"/>
      <c r="F4" s="7"/>
      <c r="G4" s="7"/>
      <c r="H4" s="7"/>
      <c r="I4" s="1" t="s">
        <v>55</v>
      </c>
    </row>
    <row r="5" spans="1:9" ht="15.75" customHeight="1">
      <c r="A5" s="4">
        <v>4</v>
      </c>
      <c r="B5" s="17">
        <v>11</v>
      </c>
      <c r="C5" s="17">
        <v>11</v>
      </c>
      <c r="D5" s="6">
        <f t="shared" si="0"/>
        <v>1</v>
      </c>
      <c r="E5" s="7"/>
      <c r="F5" s="7"/>
      <c r="G5" s="7"/>
      <c r="H5" s="7"/>
    </row>
    <row r="6" spans="1:9" ht="15.75" customHeight="1">
      <c r="A6" s="4">
        <v>5</v>
      </c>
      <c r="B6" s="17">
        <v>11</v>
      </c>
      <c r="C6" s="17">
        <v>12.5</v>
      </c>
      <c r="D6" s="6">
        <f t="shared" si="0"/>
        <v>0.88</v>
      </c>
      <c r="E6" s="7"/>
      <c r="F6" s="7"/>
      <c r="G6" s="7"/>
      <c r="H6" s="7"/>
      <c r="I6" s="1" t="s">
        <v>56</v>
      </c>
    </row>
    <row r="7" spans="1:9" ht="15.75" customHeight="1">
      <c r="A7" s="4">
        <v>6</v>
      </c>
      <c r="B7" s="17">
        <v>11</v>
      </c>
      <c r="C7" s="17">
        <v>11</v>
      </c>
      <c r="D7" s="6">
        <f t="shared" si="0"/>
        <v>1</v>
      </c>
      <c r="E7" s="7"/>
      <c r="F7" s="7"/>
      <c r="G7" s="7"/>
      <c r="H7" s="7"/>
    </row>
    <row r="8" spans="1:9" ht="15.75" customHeight="1">
      <c r="A8" s="4">
        <v>7</v>
      </c>
      <c r="B8" s="17">
        <v>11</v>
      </c>
      <c r="C8" s="17">
        <v>12.5</v>
      </c>
      <c r="D8" s="6">
        <f t="shared" si="0"/>
        <v>0.88</v>
      </c>
      <c r="E8" s="7"/>
      <c r="F8" s="7"/>
      <c r="G8" s="7"/>
      <c r="H8" s="7"/>
    </row>
    <row r="9" spans="1:9" ht="15.75" customHeight="1">
      <c r="A9" s="4">
        <v>8</v>
      </c>
      <c r="B9" s="17">
        <v>10.5</v>
      </c>
      <c r="C9" s="17">
        <v>11.5</v>
      </c>
      <c r="D9" s="6">
        <f t="shared" si="0"/>
        <v>0.91304347826086951</v>
      </c>
      <c r="E9" s="7"/>
      <c r="F9" s="7"/>
      <c r="G9" s="7"/>
      <c r="H9" s="7"/>
    </row>
    <row r="10" spans="1:9" ht="15.75" customHeight="1">
      <c r="A10" s="4">
        <v>9</v>
      </c>
      <c r="B10" s="17">
        <v>11.5</v>
      </c>
      <c r="C10" s="17">
        <v>13</v>
      </c>
      <c r="D10" s="6">
        <f t="shared" si="0"/>
        <v>0.88461538461538458</v>
      </c>
      <c r="E10" s="7"/>
      <c r="F10" s="7"/>
      <c r="G10" s="7"/>
      <c r="H10" s="7"/>
    </row>
    <row r="11" spans="1:9" ht="15.75" customHeight="1">
      <c r="A11" s="4">
        <v>10</v>
      </c>
      <c r="B11" s="17">
        <v>10</v>
      </c>
      <c r="C11" s="17">
        <v>11</v>
      </c>
      <c r="D11" s="6">
        <f t="shared" si="0"/>
        <v>0.90909090909090906</v>
      </c>
      <c r="E11" s="7"/>
      <c r="F11" s="7"/>
      <c r="G11" s="7"/>
      <c r="H11" s="7"/>
    </row>
    <row r="12" spans="1:9" ht="15.75" customHeight="1">
      <c r="A12" s="8">
        <v>11</v>
      </c>
      <c r="B12" s="17">
        <v>11</v>
      </c>
      <c r="C12" s="17">
        <v>10.5</v>
      </c>
      <c r="D12" s="6">
        <f t="shared" si="0"/>
        <v>1.0476190476190477</v>
      </c>
      <c r="E12" s="7"/>
      <c r="F12" s="7"/>
      <c r="G12" s="7"/>
      <c r="H12" s="7"/>
    </row>
    <row r="13" spans="1:9" ht="15.75" customHeight="1">
      <c r="A13" s="8">
        <v>12</v>
      </c>
      <c r="B13" s="17">
        <v>10</v>
      </c>
      <c r="C13" s="17">
        <v>10.5</v>
      </c>
      <c r="D13" s="6">
        <f t="shared" si="0"/>
        <v>0.95238095238095233</v>
      </c>
      <c r="E13" s="7"/>
      <c r="F13" s="7"/>
      <c r="G13" s="7"/>
      <c r="H13" s="7"/>
    </row>
    <row r="14" spans="1:9" ht="15.75" customHeight="1">
      <c r="A14" s="8">
        <v>13</v>
      </c>
      <c r="B14" s="17">
        <v>11</v>
      </c>
      <c r="C14" s="17">
        <v>10.5</v>
      </c>
      <c r="D14" s="6">
        <f t="shared" si="0"/>
        <v>1.0476190476190477</v>
      </c>
      <c r="E14" s="7"/>
      <c r="F14" s="7"/>
      <c r="G14" s="7"/>
      <c r="H14" s="7"/>
    </row>
    <row r="15" spans="1:9" ht="15.75" customHeight="1">
      <c r="A15" s="8">
        <v>14</v>
      </c>
      <c r="B15" s="17">
        <v>11</v>
      </c>
      <c r="C15" s="17">
        <v>11.5</v>
      </c>
      <c r="D15" s="6">
        <f t="shared" si="0"/>
        <v>0.95652173913043481</v>
      </c>
      <c r="E15" s="7"/>
      <c r="F15" s="7"/>
      <c r="G15" s="7"/>
      <c r="H15" s="7"/>
    </row>
    <row r="16" spans="1:9" ht="15.75" customHeight="1">
      <c r="A16" s="8">
        <v>15</v>
      </c>
      <c r="B16" s="17">
        <v>11.5</v>
      </c>
      <c r="C16" s="17">
        <v>11.5</v>
      </c>
      <c r="D16" s="6">
        <f t="shared" si="0"/>
        <v>1</v>
      </c>
      <c r="E16" s="7"/>
      <c r="F16" s="7"/>
      <c r="G16" s="7"/>
      <c r="H16" s="7"/>
    </row>
    <row r="17" spans="1:8" ht="15.75" customHeight="1">
      <c r="A17" s="8">
        <v>16</v>
      </c>
      <c r="B17" s="17">
        <v>8.5</v>
      </c>
      <c r="C17" s="17">
        <v>10</v>
      </c>
      <c r="D17" s="6">
        <f t="shared" si="0"/>
        <v>0.85</v>
      </c>
      <c r="E17" s="7"/>
      <c r="F17" s="7"/>
      <c r="G17" s="7"/>
      <c r="H17" s="7"/>
    </row>
    <row r="18" spans="1:8" ht="15.75" customHeight="1">
      <c r="A18" s="8">
        <v>17</v>
      </c>
      <c r="B18" s="17">
        <v>11</v>
      </c>
      <c r="C18" s="17">
        <v>10.5</v>
      </c>
      <c r="D18" s="6">
        <f t="shared" si="0"/>
        <v>1.0476190476190477</v>
      </c>
      <c r="E18" s="7"/>
      <c r="F18" s="7"/>
      <c r="G18" s="7"/>
      <c r="H18" s="7"/>
    </row>
    <row r="19" spans="1:8" ht="15.75" customHeight="1">
      <c r="A19" s="8">
        <v>18</v>
      </c>
      <c r="B19" s="17">
        <v>12</v>
      </c>
      <c r="C19" s="17">
        <v>12</v>
      </c>
      <c r="D19" s="6">
        <f t="shared" si="0"/>
        <v>1</v>
      </c>
      <c r="E19" s="7"/>
      <c r="F19" s="7"/>
      <c r="G19" s="7"/>
      <c r="H19" s="7"/>
    </row>
    <row r="20" spans="1:8" ht="15.75" customHeight="1">
      <c r="A20" s="8">
        <v>19</v>
      </c>
      <c r="B20" s="17">
        <v>10.5</v>
      </c>
      <c r="C20" s="17">
        <v>10</v>
      </c>
      <c r="D20" s="6">
        <f t="shared" si="0"/>
        <v>1.05</v>
      </c>
      <c r="E20" s="7"/>
      <c r="F20" s="7"/>
      <c r="G20" s="7"/>
      <c r="H20" s="7"/>
    </row>
    <row r="21" spans="1:8" ht="15.75" customHeight="1">
      <c r="A21" s="8">
        <v>20</v>
      </c>
      <c r="B21" s="17">
        <v>11</v>
      </c>
      <c r="C21" s="17">
        <v>10.5</v>
      </c>
      <c r="D21" s="6">
        <f t="shared" si="0"/>
        <v>1.0476190476190477</v>
      </c>
      <c r="E21" s="7"/>
      <c r="F21" s="7"/>
      <c r="G21" s="7"/>
      <c r="H21" s="7"/>
    </row>
    <row r="22" spans="1:8" ht="15.75" customHeight="1">
      <c r="A22" s="8">
        <v>21</v>
      </c>
      <c r="B22" s="17">
        <v>10.5</v>
      </c>
      <c r="C22" s="17">
        <v>12.5</v>
      </c>
      <c r="D22" s="6">
        <f t="shared" si="0"/>
        <v>0.84</v>
      </c>
      <c r="E22" s="7"/>
      <c r="F22" s="7"/>
      <c r="G22" s="7"/>
      <c r="H22" s="7"/>
    </row>
    <row r="23" spans="1:8" ht="15.75" customHeight="1">
      <c r="A23" s="8">
        <v>22</v>
      </c>
      <c r="B23" s="17">
        <v>11</v>
      </c>
      <c r="C23" s="17">
        <v>11.5</v>
      </c>
      <c r="D23" s="6">
        <f t="shared" si="0"/>
        <v>0.95652173913043481</v>
      </c>
      <c r="E23" s="7"/>
      <c r="F23" s="7"/>
      <c r="G23" s="7"/>
      <c r="H23" s="7"/>
    </row>
    <row r="24" spans="1:8" ht="15.75" customHeight="1">
      <c r="A24" s="8">
        <v>23</v>
      </c>
      <c r="B24" s="17">
        <v>12</v>
      </c>
      <c r="C24" s="17">
        <v>12.5</v>
      </c>
      <c r="D24" s="6">
        <f t="shared" si="0"/>
        <v>0.96</v>
      </c>
      <c r="E24" s="7"/>
      <c r="F24" s="7"/>
      <c r="G24" s="7"/>
      <c r="H24" s="7"/>
    </row>
    <row r="25" spans="1:8" ht="15.75" customHeight="1">
      <c r="A25" s="8">
        <v>24</v>
      </c>
      <c r="B25" s="17">
        <v>10</v>
      </c>
      <c r="C25" s="17">
        <v>10</v>
      </c>
      <c r="D25" s="6">
        <f t="shared" si="0"/>
        <v>1</v>
      </c>
      <c r="E25" s="7"/>
      <c r="F25" s="7"/>
      <c r="G25" s="7"/>
      <c r="H25" s="7"/>
    </row>
    <row r="26" spans="1:8" ht="15.75" customHeight="1">
      <c r="A26" s="8">
        <v>25</v>
      </c>
      <c r="B26" s="17">
        <v>11</v>
      </c>
      <c r="C26" s="17">
        <v>11</v>
      </c>
      <c r="D26" s="6">
        <f t="shared" si="0"/>
        <v>1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10.84</v>
      </c>
      <c r="C27" s="5">
        <f t="shared" si="1"/>
        <v>11.28</v>
      </c>
      <c r="D27" s="9">
        <f t="shared" si="1"/>
        <v>0.96383355195529108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8.5</v>
      </c>
      <c r="C28" s="5">
        <f t="shared" si="2"/>
        <v>10</v>
      </c>
      <c r="D28" s="9">
        <f t="shared" si="2"/>
        <v>0.84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12</v>
      </c>
      <c r="C29" s="5">
        <f t="shared" si="3"/>
        <v>13</v>
      </c>
      <c r="D29" s="9">
        <f t="shared" si="3"/>
        <v>1.05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5"/>
      <c r="C33" s="5"/>
      <c r="D33" s="11"/>
      <c r="E33" s="5"/>
      <c r="F33" s="7"/>
      <c r="G33" s="14" t="s">
        <v>57</v>
      </c>
      <c r="H33" s="7"/>
    </row>
    <row r="34" spans="1:8" ht="15.75" customHeight="1">
      <c r="A34" s="4">
        <v>2</v>
      </c>
      <c r="B34" s="5"/>
      <c r="C34" s="5"/>
      <c r="D34" s="11"/>
      <c r="E34" s="5"/>
      <c r="F34" s="7"/>
      <c r="G34" s="14" t="s">
        <v>58</v>
      </c>
      <c r="H34" s="14" t="s">
        <v>59</v>
      </c>
    </row>
    <row r="35" spans="1:8" ht="15.75" customHeight="1">
      <c r="A35" s="4">
        <v>3</v>
      </c>
      <c r="B35" s="5"/>
      <c r="C35" s="5"/>
      <c r="D35" s="11"/>
      <c r="E35" s="7"/>
      <c r="F35" s="7"/>
      <c r="G35" s="7"/>
      <c r="H35" s="7"/>
    </row>
    <row r="36" spans="1:8" ht="15.75" customHeight="1">
      <c r="A36" s="4">
        <v>4</v>
      </c>
      <c r="B36" s="5"/>
      <c r="C36" s="5"/>
      <c r="D36" s="11"/>
      <c r="E36" s="5"/>
      <c r="F36" s="7"/>
      <c r="G36" s="7"/>
      <c r="H36" s="7"/>
    </row>
    <row r="37" spans="1:8" ht="15.75" customHeight="1">
      <c r="A37" s="4">
        <v>5</v>
      </c>
      <c r="B37" s="5"/>
      <c r="C37" s="5"/>
      <c r="D37" s="11"/>
      <c r="E37" s="5"/>
      <c r="F37" s="7"/>
      <c r="G37" s="7"/>
      <c r="H37" s="7"/>
    </row>
    <row r="38" spans="1:8" ht="15.75" customHeight="1">
      <c r="A38" s="4">
        <v>6</v>
      </c>
      <c r="B38" s="5"/>
      <c r="C38" s="5"/>
      <c r="D38" s="11"/>
      <c r="E38" s="5"/>
      <c r="F38" s="7"/>
      <c r="G38" s="7"/>
      <c r="H38" s="7"/>
    </row>
    <row r="39" spans="1:8" ht="15.75" customHeight="1">
      <c r="A39" s="4">
        <v>7</v>
      </c>
      <c r="B39" s="5"/>
      <c r="C39" s="5"/>
      <c r="D39" s="11"/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>
        <v>4</v>
      </c>
      <c r="F48" s="7"/>
      <c r="G48" s="7"/>
      <c r="H48" s="7"/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 t="e">
        <f t="shared" ref="B58:C58" si="4">AVERAGE(B33:B57)</f>
        <v>#DIV/0!</v>
      </c>
      <c r="C58" s="5" t="e">
        <f t="shared" si="4"/>
        <v>#DIV/0!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0</v>
      </c>
      <c r="C59" s="5">
        <f t="shared" si="5"/>
        <v>0</v>
      </c>
      <c r="D59" s="11">
        <f t="shared" si="5"/>
        <v>4</v>
      </c>
      <c r="E59" s="7"/>
      <c r="F59" s="7"/>
      <c r="G59" s="7"/>
      <c r="H59" s="7"/>
    </row>
    <row r="60" spans="1:8" ht="14">
      <c r="A60" s="4" t="s">
        <v>12</v>
      </c>
      <c r="B60" s="5" t="e">
        <f t="shared" ref="B60:D60" si="6">MAX(B34:B58)</f>
        <v>#DIV/0!</v>
      </c>
      <c r="C60" s="5" t="e">
        <f t="shared" si="6"/>
        <v>#DIV/0!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14" t="s">
        <v>60</v>
      </c>
      <c r="G64" s="7"/>
      <c r="H64" s="7"/>
    </row>
    <row r="65" spans="1:8" ht="14">
      <c r="A65" s="2"/>
      <c r="B65" s="7"/>
      <c r="C65" s="14">
        <v>50</v>
      </c>
      <c r="D65" s="18">
        <v>50</v>
      </c>
      <c r="E65" s="7"/>
      <c r="F65" s="7"/>
      <c r="G65" s="7"/>
      <c r="H65" s="7"/>
    </row>
    <row r="66" spans="1:8" ht="14">
      <c r="A66" s="2"/>
      <c r="B66" s="7"/>
      <c r="C66" s="14">
        <v>57</v>
      </c>
      <c r="D66" s="18">
        <v>57</v>
      </c>
      <c r="E66" s="7"/>
      <c r="F66" s="7"/>
      <c r="G66" s="7"/>
      <c r="H66" s="7"/>
    </row>
    <row r="67" spans="1:8" ht="14">
      <c r="A67" s="2"/>
      <c r="B67" s="7"/>
      <c r="C67" s="14">
        <v>31</v>
      </c>
      <c r="D67" s="18">
        <v>33</v>
      </c>
      <c r="E67" s="7"/>
      <c r="F67" s="7"/>
      <c r="G67" s="7"/>
      <c r="H67" s="7"/>
    </row>
    <row r="68" spans="1:8" ht="14">
      <c r="A68" s="2"/>
      <c r="B68" s="7"/>
      <c r="C68" s="14">
        <v>57.5</v>
      </c>
      <c r="D68" s="18">
        <v>49</v>
      </c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14" t="s">
        <v>61</v>
      </c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62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I1006"/>
  <sheetViews>
    <sheetView workbookViewId="0"/>
  </sheetViews>
  <sheetFormatPr baseColWidth="10" defaultColWidth="12.6640625" defaultRowHeight="15.75" customHeight="1"/>
  <sheetData>
    <row r="1" spans="1:8" ht="15.75" customHeight="1">
      <c r="A1" s="15"/>
      <c r="B1" s="15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11.5</v>
      </c>
      <c r="C2" s="17">
        <v>10</v>
      </c>
      <c r="D2" s="6">
        <f t="shared" ref="D2:D26" si="0">B2/C2</f>
        <v>1.1499999999999999</v>
      </c>
      <c r="E2" s="7"/>
      <c r="F2" s="7"/>
      <c r="G2" s="7"/>
      <c r="H2" s="7"/>
    </row>
    <row r="3" spans="1:8" ht="15.75" customHeight="1">
      <c r="A3" s="4">
        <v>2</v>
      </c>
      <c r="B3" s="17">
        <v>11</v>
      </c>
      <c r="C3" s="17">
        <v>10</v>
      </c>
      <c r="D3" s="6">
        <f t="shared" si="0"/>
        <v>1.1000000000000001</v>
      </c>
      <c r="E3" s="7"/>
      <c r="F3" s="7"/>
      <c r="G3" s="7"/>
      <c r="H3" s="7"/>
    </row>
    <row r="4" spans="1:8" ht="15.75" customHeight="1">
      <c r="A4" s="4">
        <v>3</v>
      </c>
      <c r="B4" s="17">
        <v>11.5</v>
      </c>
      <c r="C4" s="17">
        <v>11</v>
      </c>
      <c r="D4" s="6">
        <f t="shared" si="0"/>
        <v>1.0454545454545454</v>
      </c>
      <c r="E4" s="7"/>
      <c r="F4" s="7"/>
      <c r="G4" s="7"/>
      <c r="H4" s="7"/>
    </row>
    <row r="5" spans="1:8" ht="15.75" customHeight="1">
      <c r="A5" s="4">
        <v>4</v>
      </c>
      <c r="B5" s="17">
        <v>11.5</v>
      </c>
      <c r="C5" s="17">
        <v>11</v>
      </c>
      <c r="D5" s="6">
        <f t="shared" si="0"/>
        <v>1.0454545454545454</v>
      </c>
      <c r="E5" s="7"/>
      <c r="F5" s="7"/>
      <c r="G5" s="7"/>
      <c r="H5" s="7"/>
    </row>
    <row r="6" spans="1:8" ht="15.75" customHeight="1">
      <c r="A6" s="4">
        <v>5</v>
      </c>
      <c r="B6" s="17">
        <v>9.5</v>
      </c>
      <c r="C6" s="17">
        <v>10</v>
      </c>
      <c r="D6" s="6">
        <f t="shared" si="0"/>
        <v>0.95</v>
      </c>
      <c r="E6" s="7"/>
      <c r="F6" s="7"/>
      <c r="G6" s="7"/>
      <c r="H6" s="7"/>
    </row>
    <row r="7" spans="1:8" ht="15.75" customHeight="1">
      <c r="A7" s="4">
        <v>6</v>
      </c>
      <c r="B7" s="17">
        <v>9.5</v>
      </c>
      <c r="C7" s="17">
        <v>9.5</v>
      </c>
      <c r="D7" s="6">
        <f t="shared" si="0"/>
        <v>1</v>
      </c>
      <c r="E7" s="7"/>
      <c r="F7" s="7"/>
      <c r="G7" s="7"/>
      <c r="H7" s="7"/>
    </row>
    <row r="8" spans="1:8" ht="15.75" customHeight="1">
      <c r="A8" s="4">
        <v>7</v>
      </c>
      <c r="B8" s="17">
        <v>11.5</v>
      </c>
      <c r="C8" s="17">
        <v>9.5</v>
      </c>
      <c r="D8" s="6">
        <f t="shared" si="0"/>
        <v>1.2105263157894737</v>
      </c>
      <c r="E8" s="7"/>
      <c r="F8" s="7"/>
      <c r="G8" s="7"/>
      <c r="H8" s="7"/>
    </row>
    <row r="9" spans="1:8" ht="15.75" customHeight="1">
      <c r="A9" s="4">
        <v>8</v>
      </c>
      <c r="B9" s="17">
        <v>13</v>
      </c>
      <c r="C9" s="17">
        <v>11</v>
      </c>
      <c r="D9" s="6">
        <f t="shared" si="0"/>
        <v>1.1818181818181819</v>
      </c>
      <c r="E9" s="7"/>
      <c r="F9" s="7"/>
      <c r="G9" s="7"/>
      <c r="H9" s="7"/>
    </row>
    <row r="10" spans="1:8" ht="15.75" customHeight="1">
      <c r="A10" s="4">
        <v>9</v>
      </c>
      <c r="B10" s="17">
        <v>12.5</v>
      </c>
      <c r="C10" s="17">
        <v>10.5</v>
      </c>
      <c r="D10" s="6">
        <f t="shared" si="0"/>
        <v>1.1904761904761905</v>
      </c>
      <c r="E10" s="7"/>
      <c r="F10" s="7"/>
      <c r="G10" s="7"/>
      <c r="H10" s="7"/>
    </row>
    <row r="11" spans="1:8" ht="15.75" customHeight="1">
      <c r="A11" s="4">
        <v>10</v>
      </c>
      <c r="B11" s="17">
        <v>12.5</v>
      </c>
      <c r="C11" s="17">
        <v>10.5</v>
      </c>
      <c r="D11" s="6">
        <f t="shared" si="0"/>
        <v>1.1904761904761905</v>
      </c>
      <c r="E11" s="7"/>
      <c r="F11" s="7"/>
      <c r="G11" s="7"/>
      <c r="H11" s="7"/>
    </row>
    <row r="12" spans="1:8" ht="15.75" customHeight="1">
      <c r="A12" s="8">
        <v>11</v>
      </c>
      <c r="B12" s="17">
        <v>11</v>
      </c>
      <c r="C12" s="17">
        <v>11</v>
      </c>
      <c r="D12" s="6">
        <f t="shared" si="0"/>
        <v>1</v>
      </c>
      <c r="E12" s="7"/>
      <c r="F12" s="7"/>
      <c r="G12" s="7"/>
      <c r="H12" s="7"/>
    </row>
    <row r="13" spans="1:8" ht="15.75" customHeight="1">
      <c r="A13" s="8">
        <v>12</v>
      </c>
      <c r="B13" s="17">
        <v>12.5</v>
      </c>
      <c r="C13" s="17">
        <v>11.5</v>
      </c>
      <c r="D13" s="6">
        <f t="shared" si="0"/>
        <v>1.0869565217391304</v>
      </c>
      <c r="E13" s="7"/>
      <c r="F13" s="7"/>
      <c r="G13" s="7"/>
      <c r="H13" s="7"/>
    </row>
    <row r="14" spans="1:8" ht="15.75" customHeight="1">
      <c r="A14" s="8">
        <v>13</v>
      </c>
      <c r="B14" s="17">
        <v>12</v>
      </c>
      <c r="C14" s="17">
        <v>11</v>
      </c>
      <c r="D14" s="6">
        <f t="shared" si="0"/>
        <v>1.0909090909090908</v>
      </c>
      <c r="E14" s="7"/>
      <c r="F14" s="7"/>
      <c r="G14" s="7"/>
      <c r="H14" s="7"/>
    </row>
    <row r="15" spans="1:8" ht="15.75" customHeight="1">
      <c r="A15" s="8">
        <v>14</v>
      </c>
      <c r="B15" s="17">
        <v>11.5</v>
      </c>
      <c r="C15" s="17">
        <v>11.5</v>
      </c>
      <c r="D15" s="6">
        <f t="shared" si="0"/>
        <v>1</v>
      </c>
      <c r="E15" s="7"/>
      <c r="F15" s="7"/>
      <c r="G15" s="7"/>
      <c r="H15" s="7"/>
    </row>
    <row r="16" spans="1:8" ht="15.75" customHeight="1">
      <c r="A16" s="8">
        <v>15</v>
      </c>
      <c r="B16" s="17">
        <v>11</v>
      </c>
      <c r="C16" s="17">
        <v>12</v>
      </c>
      <c r="D16" s="6">
        <f t="shared" si="0"/>
        <v>0.91666666666666663</v>
      </c>
      <c r="E16" s="7"/>
      <c r="F16" s="7"/>
      <c r="G16" s="7"/>
      <c r="H16" s="7"/>
    </row>
    <row r="17" spans="1:9" ht="15.75" customHeight="1">
      <c r="A17" s="8">
        <v>16</v>
      </c>
      <c r="B17" s="17">
        <v>10.5</v>
      </c>
      <c r="C17" s="17">
        <v>10.5</v>
      </c>
      <c r="D17" s="6">
        <f t="shared" si="0"/>
        <v>1</v>
      </c>
      <c r="E17" s="7"/>
      <c r="F17" s="7"/>
      <c r="G17" s="7"/>
      <c r="H17" s="7"/>
    </row>
    <row r="18" spans="1:9" ht="15.75" customHeight="1">
      <c r="A18" s="8">
        <v>17</v>
      </c>
      <c r="B18" s="17">
        <v>11.5</v>
      </c>
      <c r="C18" s="17">
        <v>10.5</v>
      </c>
      <c r="D18" s="6">
        <f t="shared" si="0"/>
        <v>1.0952380952380953</v>
      </c>
      <c r="E18" s="7"/>
      <c r="F18" s="7"/>
      <c r="G18" s="7"/>
      <c r="H18" s="7"/>
    </row>
    <row r="19" spans="1:9" ht="15.75" customHeight="1">
      <c r="A19" s="8">
        <v>18</v>
      </c>
      <c r="B19" s="17">
        <v>11.5</v>
      </c>
      <c r="C19" s="17">
        <v>11</v>
      </c>
      <c r="D19" s="6">
        <f t="shared" si="0"/>
        <v>1.0454545454545454</v>
      </c>
      <c r="E19" s="7"/>
      <c r="F19" s="7"/>
      <c r="G19" s="7"/>
      <c r="H19" s="7"/>
    </row>
    <row r="20" spans="1:9" ht="15.75" customHeight="1">
      <c r="A20" s="8">
        <v>19</v>
      </c>
      <c r="B20" s="17">
        <v>11.5</v>
      </c>
      <c r="C20" s="17">
        <v>10</v>
      </c>
      <c r="D20" s="6">
        <f t="shared" si="0"/>
        <v>1.1499999999999999</v>
      </c>
      <c r="E20" s="7"/>
      <c r="F20" s="7"/>
      <c r="G20" s="7"/>
      <c r="H20" s="7"/>
    </row>
    <row r="21" spans="1:9" ht="15.75" customHeight="1">
      <c r="A21" s="8">
        <v>20</v>
      </c>
      <c r="B21" s="17">
        <v>10</v>
      </c>
      <c r="C21" s="17">
        <v>10</v>
      </c>
      <c r="D21" s="6">
        <f t="shared" si="0"/>
        <v>1</v>
      </c>
      <c r="E21" s="7"/>
      <c r="F21" s="7"/>
      <c r="G21" s="7"/>
      <c r="H21" s="7"/>
      <c r="I21" s="1" t="s">
        <v>63</v>
      </c>
    </row>
    <row r="22" spans="1:9" ht="15.75" customHeight="1">
      <c r="A22" s="8">
        <v>21</v>
      </c>
      <c r="B22" s="17">
        <v>11.5</v>
      </c>
      <c r="C22" s="17">
        <v>10.5</v>
      </c>
      <c r="D22" s="6">
        <f t="shared" si="0"/>
        <v>1.0952380952380953</v>
      </c>
      <c r="E22" s="7"/>
      <c r="F22" s="7"/>
      <c r="G22" s="7"/>
      <c r="H22" s="7"/>
    </row>
    <row r="23" spans="1:9" ht="15.75" customHeight="1">
      <c r="A23" s="8">
        <v>22</v>
      </c>
      <c r="B23" s="17">
        <v>11</v>
      </c>
      <c r="C23" s="17">
        <v>11</v>
      </c>
      <c r="D23" s="6">
        <f t="shared" si="0"/>
        <v>1</v>
      </c>
      <c r="E23" s="7"/>
      <c r="F23" s="7"/>
      <c r="G23" s="7"/>
      <c r="H23" s="7"/>
    </row>
    <row r="24" spans="1:9" ht="15.75" customHeight="1">
      <c r="A24" s="8">
        <v>23</v>
      </c>
      <c r="B24" s="5"/>
      <c r="C24" s="5"/>
      <c r="D24" s="6" t="e">
        <f t="shared" si="0"/>
        <v>#DIV/0!</v>
      </c>
      <c r="E24" s="7"/>
      <c r="F24" s="7"/>
      <c r="G24" s="7"/>
      <c r="H24" s="7"/>
    </row>
    <row r="25" spans="1:9" ht="15.75" customHeight="1">
      <c r="A25" s="8">
        <v>24</v>
      </c>
      <c r="B25" s="5"/>
      <c r="C25" s="5"/>
      <c r="D25" s="6" t="e">
        <f t="shared" si="0"/>
        <v>#DIV/0!</v>
      </c>
      <c r="E25" s="7"/>
      <c r="F25" s="7"/>
      <c r="G25" s="7"/>
      <c r="H25" s="7"/>
    </row>
    <row r="26" spans="1:9" ht="15.75" customHeight="1">
      <c r="A26" s="8">
        <v>25</v>
      </c>
      <c r="B26" s="5"/>
      <c r="C26" s="5"/>
      <c r="D26" s="6" t="e">
        <f t="shared" si="0"/>
        <v>#DIV/0!</v>
      </c>
      <c r="E26" s="7"/>
      <c r="F26" s="7"/>
      <c r="G26" s="7"/>
      <c r="H26" s="7"/>
    </row>
    <row r="27" spans="1:9" ht="15.75" customHeight="1">
      <c r="A27" s="4" t="s">
        <v>10</v>
      </c>
      <c r="B27" s="5">
        <f t="shared" ref="B27:D27" si="1">AVERAGE(B2:B26)</f>
        <v>11.340909090909092</v>
      </c>
      <c r="C27" s="5">
        <f t="shared" si="1"/>
        <v>10.613636363636363</v>
      </c>
      <c r="D27" s="9" t="e">
        <f t="shared" si="1"/>
        <v>#DIV/0!</v>
      </c>
      <c r="E27" s="7"/>
      <c r="F27" s="7"/>
      <c r="G27" s="7"/>
      <c r="H27" s="7"/>
    </row>
    <row r="28" spans="1:9" ht="15.75" customHeight="1">
      <c r="A28" s="4" t="s">
        <v>11</v>
      </c>
      <c r="B28" s="5">
        <f t="shared" ref="B28:D28" si="2">MIN(B3:B26)</f>
        <v>9.5</v>
      </c>
      <c r="C28" s="5">
        <f t="shared" si="2"/>
        <v>9.5</v>
      </c>
      <c r="D28" s="9" t="e">
        <f t="shared" si="2"/>
        <v>#DIV/0!</v>
      </c>
      <c r="E28" s="7"/>
      <c r="F28" s="7"/>
      <c r="G28" s="7"/>
      <c r="H28" s="7"/>
    </row>
    <row r="29" spans="1:9" ht="15.75" customHeight="1">
      <c r="A29" s="4" t="s">
        <v>12</v>
      </c>
      <c r="B29" s="5">
        <f t="shared" ref="B29:D29" si="3">MAX(B4:B26)</f>
        <v>13</v>
      </c>
      <c r="C29" s="5">
        <f t="shared" si="3"/>
        <v>12</v>
      </c>
      <c r="D29" s="9" t="e">
        <f t="shared" si="3"/>
        <v>#DIV/0!</v>
      </c>
      <c r="E29" s="7"/>
      <c r="F29" s="7"/>
      <c r="G29" s="7"/>
      <c r="H29" s="7"/>
    </row>
    <row r="30" spans="1:9" ht="15.75" customHeight="1">
      <c r="A30" s="2"/>
      <c r="B30" s="7"/>
      <c r="C30" s="7"/>
      <c r="D30" s="10"/>
      <c r="E30" s="7"/>
      <c r="F30" s="7"/>
      <c r="G30" s="7"/>
      <c r="H30" s="7"/>
    </row>
    <row r="31" spans="1:9" ht="15.75" customHeight="1">
      <c r="A31" s="2"/>
      <c r="B31" s="7"/>
      <c r="C31" s="7"/>
      <c r="D31" s="10"/>
      <c r="E31" s="7"/>
      <c r="F31" s="7"/>
      <c r="G31" s="7"/>
      <c r="H31" s="7"/>
    </row>
    <row r="32" spans="1:9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5"/>
      <c r="C33" s="5"/>
      <c r="D33" s="11"/>
      <c r="E33" s="5"/>
      <c r="F33" s="7"/>
      <c r="G33" s="7"/>
      <c r="H33" s="7"/>
    </row>
    <row r="34" spans="1:8" ht="15.75" customHeight="1">
      <c r="A34" s="4">
        <v>2</v>
      </c>
      <c r="B34" s="17" t="s">
        <v>64</v>
      </c>
      <c r="C34" s="5"/>
      <c r="D34" s="11"/>
      <c r="E34" s="5"/>
      <c r="F34" s="7"/>
      <c r="G34" s="7"/>
      <c r="H34" s="7"/>
    </row>
    <row r="35" spans="1:8" ht="15.75" customHeight="1">
      <c r="A35" s="4">
        <v>3</v>
      </c>
      <c r="B35" s="5"/>
      <c r="C35" s="5"/>
      <c r="D35" s="11"/>
      <c r="E35" s="7"/>
      <c r="F35" s="7"/>
      <c r="G35" s="7"/>
      <c r="H35" s="7"/>
    </row>
    <row r="36" spans="1:8" ht="15.75" customHeight="1">
      <c r="A36" s="4">
        <v>4</v>
      </c>
      <c r="B36" s="5"/>
      <c r="C36" s="5"/>
      <c r="D36" s="11"/>
      <c r="E36" s="5"/>
      <c r="F36" s="7"/>
      <c r="G36" s="7"/>
      <c r="H36" s="7"/>
    </row>
    <row r="37" spans="1:8" ht="15.75" customHeight="1">
      <c r="A37" s="4">
        <v>5</v>
      </c>
      <c r="B37" s="5"/>
      <c r="C37" s="5"/>
      <c r="D37" s="11"/>
      <c r="E37" s="5"/>
      <c r="F37" s="7"/>
      <c r="G37" s="7"/>
      <c r="H37" s="7"/>
    </row>
    <row r="38" spans="1:8" ht="15.75" customHeight="1">
      <c r="A38" s="4">
        <v>6</v>
      </c>
      <c r="B38" s="5"/>
      <c r="C38" s="5"/>
      <c r="D38" s="11"/>
      <c r="E38" s="5"/>
      <c r="F38" s="7"/>
      <c r="G38" s="7"/>
      <c r="H38" s="7"/>
    </row>
    <row r="39" spans="1:8" ht="15.75" customHeight="1">
      <c r="A39" s="4">
        <v>7</v>
      </c>
      <c r="B39" s="5"/>
      <c r="C39" s="5"/>
      <c r="D39" s="11"/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 t="e">
        <f t="shared" ref="B58:C58" si="4">AVERAGE(B33:B57)</f>
        <v>#DIV/0!</v>
      </c>
      <c r="C58" s="5" t="e">
        <f t="shared" si="4"/>
        <v>#DIV/0!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0</v>
      </c>
      <c r="C59" s="5">
        <f t="shared" si="5"/>
        <v>0</v>
      </c>
      <c r="D59" s="11">
        <f t="shared" si="5"/>
        <v>0</v>
      </c>
      <c r="E59" s="7"/>
      <c r="F59" s="7"/>
      <c r="G59" s="7"/>
      <c r="H59" s="7"/>
    </row>
    <row r="60" spans="1:8" ht="14">
      <c r="A60" s="4" t="s">
        <v>12</v>
      </c>
      <c r="B60" s="5" t="e">
        <f t="shared" ref="B60:D60" si="6">MAX(B34:B58)</f>
        <v>#DIV/0!</v>
      </c>
      <c r="C60" s="5" t="e">
        <f t="shared" si="6"/>
        <v>#DIV/0!</v>
      </c>
      <c r="D60" s="11">
        <f t="shared" si="6"/>
        <v>0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H1006"/>
  <sheetViews>
    <sheetView workbookViewId="0"/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 t="s">
        <v>65</v>
      </c>
      <c r="C2" s="5"/>
      <c r="D2" s="6" t="e">
        <f t="shared" ref="D2:D26" si="0">B2/C2</f>
        <v>#VALUE!</v>
      </c>
      <c r="E2" s="7"/>
      <c r="F2" s="7"/>
      <c r="G2" s="7"/>
      <c r="H2" s="7"/>
    </row>
    <row r="3" spans="1:8" ht="15.75" customHeight="1">
      <c r="A3" s="4">
        <v>2</v>
      </c>
      <c r="B3" s="17" t="s">
        <v>66</v>
      </c>
      <c r="C3" s="5"/>
      <c r="D3" s="6" t="e">
        <f t="shared" si="0"/>
        <v>#VALUE!</v>
      </c>
      <c r="E3" s="7"/>
      <c r="F3" s="7"/>
      <c r="G3" s="7"/>
      <c r="H3" s="7"/>
    </row>
    <row r="4" spans="1:8" ht="15.75" customHeight="1">
      <c r="A4" s="4">
        <v>3</v>
      </c>
      <c r="B4" s="5"/>
      <c r="C4" s="5"/>
      <c r="D4" s="6" t="e">
        <f t="shared" si="0"/>
        <v>#DIV/0!</v>
      </c>
      <c r="E4" s="7"/>
      <c r="F4" s="7"/>
      <c r="G4" s="7"/>
      <c r="H4" s="7"/>
    </row>
    <row r="5" spans="1:8" ht="15.75" customHeight="1">
      <c r="A5" s="4">
        <v>4</v>
      </c>
      <c r="B5" s="5"/>
      <c r="C5" s="5"/>
      <c r="D5" s="6" t="e">
        <f t="shared" si="0"/>
        <v>#DIV/0!</v>
      </c>
      <c r="E5" s="7"/>
      <c r="F5" s="7"/>
      <c r="G5" s="7"/>
      <c r="H5" s="7"/>
    </row>
    <row r="6" spans="1:8" ht="15.75" customHeight="1">
      <c r="A6" s="4">
        <v>5</v>
      </c>
      <c r="B6" s="5"/>
      <c r="C6" s="5"/>
      <c r="D6" s="6" t="e">
        <f t="shared" si="0"/>
        <v>#DIV/0!</v>
      </c>
      <c r="E6" s="7"/>
      <c r="F6" s="7"/>
      <c r="G6" s="7"/>
      <c r="H6" s="7"/>
    </row>
    <row r="7" spans="1:8" ht="15.75" customHeight="1">
      <c r="A7" s="4">
        <v>6</v>
      </c>
      <c r="B7" s="5"/>
      <c r="C7" s="5"/>
      <c r="D7" s="6" t="e">
        <f t="shared" si="0"/>
        <v>#DIV/0!</v>
      </c>
      <c r="E7" s="7"/>
      <c r="F7" s="7"/>
      <c r="G7" s="7"/>
      <c r="H7" s="7"/>
    </row>
    <row r="8" spans="1:8" ht="15.75" customHeight="1">
      <c r="A8" s="4">
        <v>7</v>
      </c>
      <c r="B8" s="5"/>
      <c r="C8" s="5"/>
      <c r="D8" s="6" t="e">
        <f t="shared" si="0"/>
        <v>#DIV/0!</v>
      </c>
      <c r="E8" s="7"/>
      <c r="F8" s="7"/>
      <c r="G8" s="7"/>
      <c r="H8" s="7"/>
    </row>
    <row r="9" spans="1:8" ht="15.75" customHeight="1">
      <c r="A9" s="4">
        <v>8</v>
      </c>
      <c r="B9" s="5"/>
      <c r="C9" s="5"/>
      <c r="D9" s="6" t="e">
        <f t="shared" si="0"/>
        <v>#DIV/0!</v>
      </c>
      <c r="E9" s="7"/>
      <c r="F9" s="7"/>
      <c r="G9" s="7"/>
      <c r="H9" s="7"/>
    </row>
    <row r="10" spans="1:8" ht="15.75" customHeight="1">
      <c r="A10" s="4">
        <v>9</v>
      </c>
      <c r="B10" s="5"/>
      <c r="C10" s="5"/>
      <c r="D10" s="6" t="e">
        <f t="shared" si="0"/>
        <v>#DIV/0!</v>
      </c>
      <c r="E10" s="7"/>
      <c r="F10" s="7"/>
      <c r="G10" s="7"/>
      <c r="H10" s="7"/>
    </row>
    <row r="11" spans="1:8" ht="15.75" customHeight="1">
      <c r="A11" s="4">
        <v>10</v>
      </c>
      <c r="B11" s="5"/>
      <c r="C11" s="5"/>
      <c r="D11" s="6" t="e">
        <f t="shared" si="0"/>
        <v>#DIV/0!</v>
      </c>
      <c r="E11" s="7"/>
      <c r="F11" s="7"/>
      <c r="G11" s="7"/>
      <c r="H11" s="7"/>
    </row>
    <row r="12" spans="1:8" ht="15.75" customHeight="1">
      <c r="A12" s="8">
        <v>11</v>
      </c>
      <c r="B12" s="5"/>
      <c r="C12" s="5"/>
      <c r="D12" s="6" t="e">
        <f t="shared" si="0"/>
        <v>#DIV/0!</v>
      </c>
      <c r="E12" s="7"/>
      <c r="F12" s="7"/>
      <c r="G12" s="7"/>
      <c r="H12" s="7"/>
    </row>
    <row r="13" spans="1:8" ht="15.75" customHeight="1">
      <c r="A13" s="8">
        <v>12</v>
      </c>
      <c r="B13" s="5"/>
      <c r="C13" s="5"/>
      <c r="D13" s="6" t="e">
        <f t="shared" si="0"/>
        <v>#DIV/0!</v>
      </c>
      <c r="E13" s="7"/>
      <c r="F13" s="7"/>
      <c r="G13" s="7"/>
      <c r="H13" s="7"/>
    </row>
    <row r="14" spans="1:8" ht="15.75" customHeight="1">
      <c r="A14" s="8">
        <v>13</v>
      </c>
      <c r="B14" s="5"/>
      <c r="C14" s="5"/>
      <c r="D14" s="6" t="e">
        <f t="shared" si="0"/>
        <v>#DIV/0!</v>
      </c>
      <c r="E14" s="7"/>
      <c r="F14" s="7"/>
      <c r="G14" s="7"/>
      <c r="H14" s="7"/>
    </row>
    <row r="15" spans="1:8" ht="15.75" customHeight="1">
      <c r="A15" s="8">
        <v>14</v>
      </c>
      <c r="B15" s="5"/>
      <c r="C15" s="5"/>
      <c r="D15" s="6" t="e">
        <f t="shared" si="0"/>
        <v>#DIV/0!</v>
      </c>
      <c r="E15" s="7"/>
      <c r="F15" s="7"/>
      <c r="G15" s="7"/>
      <c r="H15" s="7"/>
    </row>
    <row r="16" spans="1:8" ht="15.75" customHeight="1">
      <c r="A16" s="8">
        <v>15</v>
      </c>
      <c r="B16" s="5"/>
      <c r="C16" s="5"/>
      <c r="D16" s="6" t="e">
        <f t="shared" si="0"/>
        <v>#DIV/0!</v>
      </c>
      <c r="E16" s="7"/>
      <c r="F16" s="7"/>
      <c r="G16" s="7"/>
      <c r="H16" s="7"/>
    </row>
    <row r="17" spans="1:8" ht="15.75" customHeight="1">
      <c r="A17" s="8">
        <v>16</v>
      </c>
      <c r="B17" s="5"/>
      <c r="C17" s="5"/>
      <c r="D17" s="6" t="e">
        <f t="shared" si="0"/>
        <v>#DIV/0!</v>
      </c>
      <c r="E17" s="7"/>
      <c r="F17" s="7"/>
      <c r="G17" s="7"/>
      <c r="H17" s="7"/>
    </row>
    <row r="18" spans="1:8" ht="15.75" customHeight="1">
      <c r="A18" s="8">
        <v>17</v>
      </c>
      <c r="B18" s="5"/>
      <c r="C18" s="5"/>
      <c r="D18" s="6" t="e">
        <f t="shared" si="0"/>
        <v>#DIV/0!</v>
      </c>
      <c r="E18" s="7"/>
      <c r="F18" s="7"/>
      <c r="G18" s="7"/>
      <c r="H18" s="7"/>
    </row>
    <row r="19" spans="1:8" ht="15.75" customHeight="1">
      <c r="A19" s="8">
        <v>18</v>
      </c>
      <c r="B19" s="5"/>
      <c r="C19" s="5"/>
      <c r="D19" s="6" t="e">
        <f t="shared" si="0"/>
        <v>#DIV/0!</v>
      </c>
      <c r="E19" s="7"/>
      <c r="F19" s="7"/>
      <c r="G19" s="7"/>
      <c r="H19" s="7"/>
    </row>
    <row r="20" spans="1:8" ht="15.75" customHeight="1">
      <c r="A20" s="8">
        <v>19</v>
      </c>
      <c r="B20" s="5"/>
      <c r="C20" s="5"/>
      <c r="D20" s="6" t="e">
        <f t="shared" si="0"/>
        <v>#DIV/0!</v>
      </c>
      <c r="E20" s="7"/>
      <c r="F20" s="7"/>
      <c r="G20" s="7"/>
      <c r="H20" s="7"/>
    </row>
    <row r="21" spans="1:8" ht="15.75" customHeight="1">
      <c r="A21" s="8">
        <v>20</v>
      </c>
      <c r="B21" s="5"/>
      <c r="C21" s="5"/>
      <c r="D21" s="6" t="e">
        <f t="shared" si="0"/>
        <v>#DIV/0!</v>
      </c>
      <c r="E21" s="7"/>
      <c r="F21" s="7"/>
      <c r="G21" s="7"/>
      <c r="H21" s="7"/>
    </row>
    <row r="22" spans="1:8" ht="15.75" customHeight="1">
      <c r="A22" s="8">
        <v>21</v>
      </c>
      <c r="B22" s="5"/>
      <c r="C22" s="5"/>
      <c r="D22" s="6" t="e">
        <f t="shared" si="0"/>
        <v>#DIV/0!</v>
      </c>
      <c r="E22" s="7"/>
      <c r="F22" s="7"/>
      <c r="G22" s="7"/>
      <c r="H22" s="7"/>
    </row>
    <row r="23" spans="1:8" ht="15.75" customHeight="1">
      <c r="A23" s="8">
        <v>22</v>
      </c>
      <c r="B23" s="5"/>
      <c r="C23" s="5"/>
      <c r="D23" s="6" t="e">
        <f t="shared" si="0"/>
        <v>#DIV/0!</v>
      </c>
      <c r="E23" s="7"/>
      <c r="F23" s="7"/>
      <c r="G23" s="7"/>
      <c r="H23" s="7"/>
    </row>
    <row r="24" spans="1:8" ht="15.75" customHeight="1">
      <c r="A24" s="8">
        <v>23</v>
      </c>
      <c r="B24" s="5"/>
      <c r="C24" s="5"/>
      <c r="D24" s="6" t="e">
        <f t="shared" si="0"/>
        <v>#DIV/0!</v>
      </c>
      <c r="E24" s="7"/>
      <c r="F24" s="7"/>
      <c r="G24" s="7"/>
      <c r="H24" s="7"/>
    </row>
    <row r="25" spans="1:8" ht="15.75" customHeight="1">
      <c r="A25" s="8">
        <v>24</v>
      </c>
      <c r="B25" s="5"/>
      <c r="C25" s="5"/>
      <c r="D25" s="6" t="e">
        <f t="shared" si="0"/>
        <v>#DIV/0!</v>
      </c>
      <c r="E25" s="7"/>
      <c r="F25" s="7"/>
      <c r="G25" s="7"/>
      <c r="H25" s="7"/>
    </row>
    <row r="26" spans="1:8" ht="15.75" customHeight="1">
      <c r="A26" s="8">
        <v>25</v>
      </c>
      <c r="B26" s="5"/>
      <c r="C26" s="5"/>
      <c r="D26" s="6" t="e">
        <f t="shared" si="0"/>
        <v>#DIV/0!</v>
      </c>
      <c r="E26" s="7"/>
      <c r="F26" s="7"/>
      <c r="G26" s="7"/>
      <c r="H26" s="7"/>
    </row>
    <row r="27" spans="1:8" ht="15.75" customHeight="1">
      <c r="A27" s="4" t="s">
        <v>10</v>
      </c>
      <c r="B27" s="5" t="e">
        <f t="shared" ref="B27:D27" si="1">AVERAGE(B2:B26)</f>
        <v>#DIV/0!</v>
      </c>
      <c r="C27" s="5" t="e">
        <f t="shared" si="1"/>
        <v>#DIV/0!</v>
      </c>
      <c r="D27" s="9" t="e">
        <f t="shared" si="1"/>
        <v>#VALUE!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0</v>
      </c>
      <c r="C28" s="5">
        <f t="shared" si="2"/>
        <v>0</v>
      </c>
      <c r="D28" s="9" t="e">
        <f t="shared" si="2"/>
        <v>#VALUE!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0</v>
      </c>
      <c r="C29" s="5">
        <f t="shared" si="3"/>
        <v>0</v>
      </c>
      <c r="D29" s="9" t="e">
        <f t="shared" si="3"/>
        <v>#DIV/0!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5"/>
      <c r="C33" s="5"/>
      <c r="D33" s="11"/>
      <c r="E33" s="5"/>
      <c r="F33" s="7"/>
      <c r="G33" s="7"/>
      <c r="H33" s="7"/>
    </row>
    <row r="34" spans="1:8" ht="15.75" customHeight="1">
      <c r="A34" s="4">
        <v>2</v>
      </c>
      <c r="B34" s="5"/>
      <c r="C34" s="5"/>
      <c r="D34" s="11"/>
      <c r="E34" s="5"/>
      <c r="F34" s="7"/>
      <c r="G34" s="7"/>
      <c r="H34" s="7"/>
    </row>
    <row r="35" spans="1:8" ht="15.75" customHeight="1">
      <c r="A35" s="4">
        <v>3</v>
      </c>
      <c r="B35" s="5"/>
      <c r="C35" s="5"/>
      <c r="D35" s="11"/>
      <c r="E35" s="7"/>
      <c r="F35" s="7"/>
      <c r="G35" s="7"/>
      <c r="H35" s="7"/>
    </row>
    <row r="36" spans="1:8" ht="15.75" customHeight="1">
      <c r="A36" s="4">
        <v>4</v>
      </c>
      <c r="B36" s="5"/>
      <c r="C36" s="5"/>
      <c r="D36" s="11"/>
      <c r="E36" s="5"/>
      <c r="F36" s="7"/>
      <c r="G36" s="7"/>
      <c r="H36" s="7"/>
    </row>
    <row r="37" spans="1:8" ht="15.75" customHeight="1">
      <c r="A37" s="4">
        <v>5</v>
      </c>
      <c r="B37" s="5"/>
      <c r="C37" s="5"/>
      <c r="D37" s="11"/>
      <c r="E37" s="5"/>
      <c r="F37" s="7"/>
      <c r="G37" s="7"/>
      <c r="H37" s="7"/>
    </row>
    <row r="38" spans="1:8" ht="15.75" customHeight="1">
      <c r="A38" s="4">
        <v>6</v>
      </c>
      <c r="B38" s="5"/>
      <c r="C38" s="5"/>
      <c r="D38" s="11"/>
      <c r="E38" s="5"/>
      <c r="F38" s="7"/>
      <c r="G38" s="7"/>
      <c r="H38" s="7"/>
    </row>
    <row r="39" spans="1:8" ht="15.75" customHeight="1">
      <c r="A39" s="4">
        <v>7</v>
      </c>
      <c r="B39" s="5"/>
      <c r="C39" s="5"/>
      <c r="D39" s="11"/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 t="e">
        <f t="shared" ref="B58:C58" si="4">AVERAGE(B33:B57)</f>
        <v>#DIV/0!</v>
      </c>
      <c r="C58" s="5" t="e">
        <f t="shared" si="4"/>
        <v>#DIV/0!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0</v>
      </c>
      <c r="C59" s="5">
        <f t="shared" si="5"/>
        <v>0</v>
      </c>
      <c r="D59" s="11">
        <f t="shared" si="5"/>
        <v>0</v>
      </c>
      <c r="E59" s="7"/>
      <c r="F59" s="7"/>
      <c r="G59" s="7"/>
      <c r="H59" s="7"/>
    </row>
    <row r="60" spans="1:8" ht="14">
      <c r="A60" s="4" t="s">
        <v>12</v>
      </c>
      <c r="B60" s="5" t="e">
        <f t="shared" ref="B60:D60" si="6">MAX(B34:B58)</f>
        <v>#DIV/0!</v>
      </c>
      <c r="C60" s="5" t="e">
        <f t="shared" si="6"/>
        <v>#DIV/0!</v>
      </c>
      <c r="D60" s="11">
        <f t="shared" si="6"/>
        <v>0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I1006"/>
  <sheetViews>
    <sheetView workbookViewId="0"/>
  </sheetViews>
  <sheetFormatPr baseColWidth="10" defaultColWidth="12.6640625" defaultRowHeight="15.75" customHeight="1"/>
  <sheetData>
    <row r="1" spans="1:9" ht="15.75" customHeight="1">
      <c r="A1" s="2"/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18</v>
      </c>
      <c r="C2" s="17">
        <v>12.5</v>
      </c>
      <c r="D2" s="6">
        <f t="shared" ref="D2:D26" si="0">B2/C2</f>
        <v>1.44</v>
      </c>
      <c r="E2" s="7"/>
      <c r="F2" s="14" t="s">
        <v>67</v>
      </c>
      <c r="G2" s="7"/>
      <c r="H2" s="7"/>
      <c r="I2" s="1" t="s">
        <v>68</v>
      </c>
    </row>
    <row r="3" spans="1:9" ht="15.75" customHeight="1">
      <c r="A3" s="4">
        <v>2</v>
      </c>
      <c r="B3" s="17">
        <v>15.5</v>
      </c>
      <c r="C3" s="17">
        <v>12.5</v>
      </c>
      <c r="D3" s="6">
        <f t="shared" si="0"/>
        <v>1.24</v>
      </c>
      <c r="E3" s="7"/>
      <c r="F3" s="7"/>
      <c r="G3" s="7"/>
      <c r="H3" s="7"/>
    </row>
    <row r="4" spans="1:9" ht="15.75" customHeight="1">
      <c r="A4" s="4">
        <v>3</v>
      </c>
      <c r="B4" s="17">
        <v>16.5</v>
      </c>
      <c r="C4" s="17">
        <v>12.5</v>
      </c>
      <c r="D4" s="6">
        <f t="shared" si="0"/>
        <v>1.32</v>
      </c>
      <c r="E4" s="7"/>
      <c r="F4" s="7"/>
      <c r="G4" s="7"/>
      <c r="H4" s="7"/>
    </row>
    <row r="5" spans="1:9" ht="15.75" customHeight="1">
      <c r="A5" s="4">
        <v>4</v>
      </c>
      <c r="B5" s="17">
        <v>16.5</v>
      </c>
      <c r="C5" s="17">
        <v>12.5</v>
      </c>
      <c r="D5" s="6">
        <f t="shared" si="0"/>
        <v>1.32</v>
      </c>
      <c r="E5" s="7"/>
      <c r="F5" s="7"/>
      <c r="G5" s="7"/>
      <c r="H5" s="7"/>
    </row>
    <row r="6" spans="1:9" ht="15.75" customHeight="1">
      <c r="A6" s="4">
        <v>5</v>
      </c>
      <c r="B6" s="17">
        <v>16.5</v>
      </c>
      <c r="C6" s="17">
        <v>14</v>
      </c>
      <c r="D6" s="6">
        <f t="shared" si="0"/>
        <v>1.1785714285714286</v>
      </c>
      <c r="E6" s="7"/>
      <c r="F6" s="7"/>
      <c r="G6" s="7"/>
      <c r="H6" s="7"/>
    </row>
    <row r="7" spans="1:9" ht="15.75" customHeight="1">
      <c r="A7" s="4">
        <v>6</v>
      </c>
      <c r="B7" s="17">
        <v>17.5</v>
      </c>
      <c r="C7" s="17">
        <v>13</v>
      </c>
      <c r="D7" s="6">
        <f t="shared" si="0"/>
        <v>1.3461538461538463</v>
      </c>
      <c r="E7" s="7"/>
      <c r="F7" s="7"/>
      <c r="G7" s="7"/>
      <c r="H7" s="7"/>
    </row>
    <row r="8" spans="1:9" ht="15.75" customHeight="1">
      <c r="A8" s="4">
        <v>7</v>
      </c>
      <c r="B8" s="17">
        <v>17</v>
      </c>
      <c r="C8" s="17">
        <v>12.5</v>
      </c>
      <c r="D8" s="6">
        <f t="shared" si="0"/>
        <v>1.36</v>
      </c>
      <c r="E8" s="7"/>
      <c r="F8" s="7"/>
      <c r="G8" s="7"/>
      <c r="H8" s="7"/>
    </row>
    <row r="9" spans="1:9" ht="15.75" customHeight="1">
      <c r="A9" s="4">
        <v>8</v>
      </c>
      <c r="B9" s="17">
        <v>17.5</v>
      </c>
      <c r="C9" s="17">
        <v>14</v>
      </c>
      <c r="D9" s="6">
        <f t="shared" si="0"/>
        <v>1.25</v>
      </c>
      <c r="E9" s="7"/>
      <c r="F9" s="7"/>
      <c r="G9" s="7"/>
      <c r="H9" s="7"/>
      <c r="I9" s="1" t="s">
        <v>69</v>
      </c>
    </row>
    <row r="10" spans="1:9" ht="15.75" customHeight="1">
      <c r="A10" s="4">
        <v>9</v>
      </c>
      <c r="B10" s="17">
        <v>17</v>
      </c>
      <c r="C10" s="17">
        <v>13.5</v>
      </c>
      <c r="D10" s="6">
        <f t="shared" si="0"/>
        <v>1.2592592592592593</v>
      </c>
      <c r="E10" s="7"/>
      <c r="F10" s="7"/>
      <c r="G10" s="7"/>
      <c r="H10" s="7"/>
    </row>
    <row r="11" spans="1:9" ht="15.75" customHeight="1">
      <c r="A11" s="4">
        <v>10</v>
      </c>
      <c r="B11" s="17">
        <v>20</v>
      </c>
      <c r="C11" s="17">
        <v>14</v>
      </c>
      <c r="D11" s="6">
        <f t="shared" si="0"/>
        <v>1.4285714285714286</v>
      </c>
      <c r="E11" s="7"/>
      <c r="F11" s="7"/>
      <c r="G11" s="7"/>
      <c r="H11" s="7"/>
    </row>
    <row r="12" spans="1:9" ht="15.75" customHeight="1">
      <c r="A12" s="8">
        <v>11</v>
      </c>
      <c r="B12" s="17">
        <v>17</v>
      </c>
      <c r="C12" s="17">
        <v>14.5</v>
      </c>
      <c r="D12" s="6">
        <f t="shared" si="0"/>
        <v>1.1724137931034482</v>
      </c>
      <c r="E12" s="7"/>
      <c r="F12" s="7"/>
      <c r="G12" s="7"/>
      <c r="H12" s="7"/>
    </row>
    <row r="13" spans="1:9" ht="15.75" customHeight="1">
      <c r="A13" s="8">
        <v>12</v>
      </c>
      <c r="B13" s="17">
        <v>16.5</v>
      </c>
      <c r="C13" s="17">
        <v>12.5</v>
      </c>
      <c r="D13" s="6">
        <f t="shared" si="0"/>
        <v>1.32</v>
      </c>
      <c r="E13" s="7"/>
      <c r="F13" s="7"/>
      <c r="G13" s="7"/>
      <c r="H13" s="7"/>
    </row>
    <row r="14" spans="1:9" ht="15.75" customHeight="1">
      <c r="A14" s="8">
        <v>13</v>
      </c>
      <c r="B14" s="17">
        <v>17</v>
      </c>
      <c r="C14" s="17">
        <v>13</v>
      </c>
      <c r="D14" s="6">
        <f t="shared" si="0"/>
        <v>1.3076923076923077</v>
      </c>
      <c r="E14" s="14"/>
      <c r="F14" s="7"/>
      <c r="G14" s="7"/>
      <c r="H14" s="7"/>
    </row>
    <row r="15" spans="1:9" ht="15.75" customHeight="1">
      <c r="A15" s="8">
        <v>14</v>
      </c>
      <c r="B15" s="5"/>
      <c r="C15" s="5"/>
      <c r="D15" s="6" t="e">
        <f t="shared" si="0"/>
        <v>#DIV/0!</v>
      </c>
      <c r="E15" s="7"/>
      <c r="F15" s="7"/>
      <c r="G15" s="7"/>
      <c r="H15" s="7"/>
    </row>
    <row r="16" spans="1:9" ht="15.75" customHeight="1">
      <c r="A16" s="8">
        <v>15</v>
      </c>
      <c r="B16" s="5"/>
      <c r="C16" s="5"/>
      <c r="D16" s="6" t="e">
        <f t="shared" si="0"/>
        <v>#DIV/0!</v>
      </c>
      <c r="E16" s="7"/>
      <c r="F16" s="7"/>
      <c r="G16" s="7"/>
      <c r="H16" s="7"/>
    </row>
    <row r="17" spans="1:8" ht="15.75" customHeight="1">
      <c r="A17" s="8">
        <v>16</v>
      </c>
      <c r="B17" s="5"/>
      <c r="C17" s="5"/>
      <c r="D17" s="6" t="e">
        <f t="shared" si="0"/>
        <v>#DIV/0!</v>
      </c>
      <c r="E17" s="7"/>
      <c r="F17" s="7"/>
      <c r="G17" s="7"/>
      <c r="H17" s="7"/>
    </row>
    <row r="18" spans="1:8" ht="15.75" customHeight="1">
      <c r="A18" s="8">
        <v>17</v>
      </c>
      <c r="B18" s="5"/>
      <c r="C18" s="5"/>
      <c r="D18" s="6" t="e">
        <f t="shared" si="0"/>
        <v>#DIV/0!</v>
      </c>
      <c r="E18" s="7"/>
      <c r="F18" s="7"/>
      <c r="G18" s="7"/>
      <c r="H18" s="7"/>
    </row>
    <row r="19" spans="1:8" ht="15.75" customHeight="1">
      <c r="A19" s="8">
        <v>18</v>
      </c>
      <c r="B19" s="5"/>
      <c r="C19" s="5"/>
      <c r="D19" s="6" t="e">
        <f t="shared" si="0"/>
        <v>#DIV/0!</v>
      </c>
      <c r="E19" s="7"/>
      <c r="F19" s="7"/>
      <c r="G19" s="7"/>
      <c r="H19" s="7"/>
    </row>
    <row r="20" spans="1:8" ht="15.75" customHeight="1">
      <c r="A20" s="8">
        <v>19</v>
      </c>
      <c r="B20" s="5"/>
      <c r="C20" s="5"/>
      <c r="D20" s="6" t="e">
        <f t="shared" si="0"/>
        <v>#DIV/0!</v>
      </c>
      <c r="E20" s="7"/>
      <c r="F20" s="7"/>
      <c r="G20" s="7"/>
      <c r="H20" s="7"/>
    </row>
    <row r="21" spans="1:8" ht="15.75" customHeight="1">
      <c r="A21" s="8">
        <v>20</v>
      </c>
      <c r="B21" s="5"/>
      <c r="C21" s="5"/>
      <c r="D21" s="6" t="e">
        <f t="shared" si="0"/>
        <v>#DIV/0!</v>
      </c>
      <c r="E21" s="7"/>
      <c r="F21" s="7"/>
      <c r="G21" s="7"/>
      <c r="H21" s="7"/>
    </row>
    <row r="22" spans="1:8" ht="15.75" customHeight="1">
      <c r="A22" s="8">
        <v>21</v>
      </c>
      <c r="B22" s="5"/>
      <c r="C22" s="5"/>
      <c r="D22" s="6" t="e">
        <f t="shared" si="0"/>
        <v>#DIV/0!</v>
      </c>
      <c r="E22" s="7"/>
      <c r="F22" s="7"/>
      <c r="G22" s="7"/>
      <c r="H22" s="7"/>
    </row>
    <row r="23" spans="1:8" ht="15.75" customHeight="1">
      <c r="A23" s="8">
        <v>22</v>
      </c>
      <c r="B23" s="5"/>
      <c r="C23" s="5"/>
      <c r="D23" s="6" t="e">
        <f t="shared" si="0"/>
        <v>#DIV/0!</v>
      </c>
      <c r="E23" s="7"/>
      <c r="F23" s="7"/>
      <c r="G23" s="7"/>
      <c r="H23" s="7"/>
    </row>
    <row r="24" spans="1:8" ht="15.75" customHeight="1">
      <c r="A24" s="8">
        <v>23</v>
      </c>
      <c r="B24" s="5"/>
      <c r="C24" s="5"/>
      <c r="D24" s="6" t="e">
        <f t="shared" si="0"/>
        <v>#DIV/0!</v>
      </c>
      <c r="E24" s="7"/>
      <c r="F24" s="7"/>
      <c r="G24" s="7"/>
      <c r="H24" s="7"/>
    </row>
    <row r="25" spans="1:8" ht="15.75" customHeight="1">
      <c r="A25" s="8">
        <v>24</v>
      </c>
      <c r="B25" s="5"/>
      <c r="C25" s="5"/>
      <c r="D25" s="6" t="e">
        <f t="shared" si="0"/>
        <v>#DIV/0!</v>
      </c>
      <c r="E25" s="7"/>
      <c r="F25" s="7"/>
      <c r="G25" s="7"/>
      <c r="H25" s="7"/>
    </row>
    <row r="26" spans="1:8" ht="15.75" customHeight="1">
      <c r="A26" s="8">
        <v>25</v>
      </c>
      <c r="B26" s="5"/>
      <c r="C26" s="5"/>
      <c r="D26" s="6" t="e">
        <f t="shared" si="0"/>
        <v>#DIV/0!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17.115384615384617</v>
      </c>
      <c r="C27" s="5">
        <f t="shared" si="1"/>
        <v>13.153846153846153</v>
      </c>
      <c r="D27" s="9" t="e">
        <f t="shared" si="1"/>
        <v>#DIV/0!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15.5</v>
      </c>
      <c r="C28" s="5">
        <f t="shared" si="2"/>
        <v>12.5</v>
      </c>
      <c r="D28" s="9" t="e">
        <f t="shared" si="2"/>
        <v>#DIV/0!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20</v>
      </c>
      <c r="C29" s="5">
        <f t="shared" si="3"/>
        <v>14.5</v>
      </c>
      <c r="D29" s="9" t="e">
        <f t="shared" si="3"/>
        <v>#DIV/0!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45.5</v>
      </c>
      <c r="C33" s="17">
        <v>14.5</v>
      </c>
      <c r="D33" s="13">
        <v>1</v>
      </c>
      <c r="E33" s="17">
        <v>4</v>
      </c>
      <c r="F33" s="14" t="s">
        <v>70</v>
      </c>
      <c r="G33" s="14" t="s">
        <v>71</v>
      </c>
      <c r="H33" s="7"/>
    </row>
    <row r="34" spans="1:8" ht="15.75" customHeight="1">
      <c r="A34" s="4">
        <v>2</v>
      </c>
      <c r="B34" s="5"/>
      <c r="C34" s="5"/>
      <c r="D34" s="11"/>
      <c r="E34" s="5"/>
      <c r="F34" s="7"/>
      <c r="G34" s="7"/>
      <c r="H34" s="7"/>
    </row>
    <row r="35" spans="1:8" ht="15.75" customHeight="1">
      <c r="A35" s="4">
        <v>3</v>
      </c>
      <c r="B35" s="5"/>
      <c r="C35" s="5"/>
      <c r="D35" s="11"/>
      <c r="E35" s="7"/>
      <c r="F35" s="7"/>
      <c r="G35" s="7"/>
      <c r="H35" s="7"/>
    </row>
    <row r="36" spans="1:8" ht="15.75" customHeight="1">
      <c r="A36" s="4">
        <v>4</v>
      </c>
      <c r="B36" s="5"/>
      <c r="C36" s="5"/>
      <c r="D36" s="11"/>
      <c r="E36" s="5"/>
      <c r="F36" s="7"/>
      <c r="G36" s="7"/>
      <c r="H36" s="7"/>
    </row>
    <row r="37" spans="1:8" ht="15.75" customHeight="1">
      <c r="A37" s="4">
        <v>5</v>
      </c>
      <c r="B37" s="5"/>
      <c r="C37" s="5"/>
      <c r="D37" s="11"/>
      <c r="E37" s="5"/>
      <c r="F37" s="7"/>
      <c r="G37" s="7"/>
      <c r="H37" s="7"/>
    </row>
    <row r="38" spans="1:8" ht="15.75" customHeight="1">
      <c r="A38" s="4">
        <v>6</v>
      </c>
      <c r="B38" s="5"/>
      <c r="C38" s="5"/>
      <c r="D38" s="11"/>
      <c r="E38" s="5"/>
      <c r="F38" s="7"/>
      <c r="G38" s="7"/>
      <c r="H38" s="7"/>
    </row>
    <row r="39" spans="1:8" ht="15.75" customHeight="1">
      <c r="A39" s="4">
        <v>7</v>
      </c>
      <c r="B39" s="5"/>
      <c r="C39" s="5"/>
      <c r="D39" s="11"/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45.5</v>
      </c>
      <c r="C58" s="5">
        <f t="shared" si="4"/>
        <v>14.5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45.5</v>
      </c>
      <c r="C59" s="5">
        <f t="shared" si="5"/>
        <v>14.5</v>
      </c>
      <c r="D59" s="11">
        <f t="shared" si="5"/>
        <v>1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45.5</v>
      </c>
      <c r="C60" s="5">
        <f t="shared" si="6"/>
        <v>14.5</v>
      </c>
      <c r="D60" s="11">
        <f t="shared" si="6"/>
        <v>0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 t="s">
        <v>72</v>
      </c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K1006"/>
  <sheetViews>
    <sheetView workbookViewId="0"/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7</v>
      </c>
      <c r="C2" s="17">
        <v>6</v>
      </c>
      <c r="D2" s="6">
        <f t="shared" ref="D2:D26" si="0">B2/C2</f>
        <v>1.1666666666666667</v>
      </c>
      <c r="E2" s="14" t="s">
        <v>29</v>
      </c>
      <c r="F2" s="14" t="s">
        <v>30</v>
      </c>
      <c r="G2" s="14" t="s">
        <v>29</v>
      </c>
      <c r="H2" s="7"/>
    </row>
    <row r="3" spans="1:9" ht="15.75" customHeight="1">
      <c r="A3" s="4">
        <v>2</v>
      </c>
      <c r="B3" s="17">
        <v>8</v>
      </c>
      <c r="C3" s="17">
        <v>6</v>
      </c>
      <c r="D3" s="6">
        <f t="shared" si="0"/>
        <v>1.3333333333333333</v>
      </c>
      <c r="E3" s="7"/>
      <c r="F3" s="7"/>
      <c r="G3" s="7"/>
      <c r="H3" s="7"/>
    </row>
    <row r="4" spans="1:9" ht="15.75" customHeight="1">
      <c r="A4" s="4">
        <v>3</v>
      </c>
      <c r="B4" s="17">
        <v>7</v>
      </c>
      <c r="C4" s="17">
        <v>6</v>
      </c>
      <c r="D4" s="6">
        <f t="shared" si="0"/>
        <v>1.1666666666666667</v>
      </c>
      <c r="E4" s="7"/>
      <c r="F4" s="7"/>
      <c r="G4" s="7"/>
      <c r="H4" s="7"/>
    </row>
    <row r="5" spans="1:9" ht="15.75" customHeight="1">
      <c r="A5" s="4">
        <v>4</v>
      </c>
      <c r="B5" s="17">
        <v>7.5</v>
      </c>
      <c r="C5" s="17">
        <v>6.5</v>
      </c>
      <c r="D5" s="6">
        <f t="shared" si="0"/>
        <v>1.1538461538461537</v>
      </c>
      <c r="E5" s="7"/>
      <c r="F5" s="7"/>
      <c r="G5" s="7"/>
      <c r="H5" s="7"/>
    </row>
    <row r="6" spans="1:9" ht="15.75" customHeight="1">
      <c r="A6" s="4">
        <v>5</v>
      </c>
      <c r="B6" s="17">
        <v>6.5</v>
      </c>
      <c r="C6" s="17">
        <v>6.5</v>
      </c>
      <c r="D6" s="6">
        <f t="shared" si="0"/>
        <v>1</v>
      </c>
      <c r="E6" s="7"/>
      <c r="F6" s="7"/>
      <c r="G6" s="7"/>
      <c r="H6" s="7"/>
    </row>
    <row r="7" spans="1:9" ht="15.75" customHeight="1">
      <c r="A7" s="4">
        <v>6</v>
      </c>
      <c r="B7" s="17">
        <v>8</v>
      </c>
      <c r="C7" s="17">
        <v>6</v>
      </c>
      <c r="D7" s="6">
        <f t="shared" si="0"/>
        <v>1.3333333333333333</v>
      </c>
      <c r="E7" s="7"/>
      <c r="F7" s="7"/>
      <c r="G7" s="7"/>
      <c r="H7" s="7"/>
    </row>
    <row r="8" spans="1:9" ht="15.75" customHeight="1">
      <c r="A8" s="4">
        <v>7</v>
      </c>
      <c r="B8" s="17">
        <v>8</v>
      </c>
      <c r="C8" s="17">
        <v>5</v>
      </c>
      <c r="D8" s="6">
        <f t="shared" si="0"/>
        <v>1.6</v>
      </c>
      <c r="E8" s="7"/>
      <c r="F8" s="7"/>
      <c r="G8" s="7"/>
      <c r="H8" s="7"/>
      <c r="I8" s="1" t="s">
        <v>73</v>
      </c>
    </row>
    <row r="9" spans="1:9" ht="15.75" customHeight="1">
      <c r="A9" s="4">
        <v>8</v>
      </c>
      <c r="B9" s="17">
        <v>9.5</v>
      </c>
      <c r="C9" s="17">
        <v>7</v>
      </c>
      <c r="D9" s="6">
        <f t="shared" si="0"/>
        <v>1.3571428571428572</v>
      </c>
      <c r="E9" s="7"/>
      <c r="F9" s="7"/>
      <c r="G9" s="7"/>
      <c r="H9" s="7"/>
      <c r="I9" s="1" t="s">
        <v>73</v>
      </c>
    </row>
    <row r="10" spans="1:9" ht="15.75" customHeight="1">
      <c r="A10" s="4">
        <v>9</v>
      </c>
      <c r="B10" s="17">
        <v>6.5</v>
      </c>
      <c r="C10" s="17">
        <v>5.5</v>
      </c>
      <c r="D10" s="6">
        <f t="shared" si="0"/>
        <v>1.1818181818181819</v>
      </c>
      <c r="E10" s="7"/>
      <c r="F10" s="7"/>
      <c r="G10" s="7"/>
      <c r="H10" s="7"/>
      <c r="I10" s="1" t="s">
        <v>73</v>
      </c>
    </row>
    <row r="11" spans="1:9" ht="15.75" customHeight="1">
      <c r="A11" s="4">
        <v>10</v>
      </c>
      <c r="B11" s="17">
        <v>7</v>
      </c>
      <c r="C11" s="17">
        <v>5.5</v>
      </c>
      <c r="D11" s="6">
        <f t="shared" si="0"/>
        <v>1.2727272727272727</v>
      </c>
      <c r="E11" s="7"/>
      <c r="F11" s="7"/>
      <c r="G11" s="7"/>
      <c r="H11" s="7"/>
      <c r="I11" s="1" t="s">
        <v>73</v>
      </c>
    </row>
    <row r="12" spans="1:9" ht="15.75" customHeight="1">
      <c r="A12" s="8">
        <v>11</v>
      </c>
      <c r="B12" s="17">
        <v>7</v>
      </c>
      <c r="C12" s="17">
        <v>5.5</v>
      </c>
      <c r="D12" s="6">
        <f t="shared" si="0"/>
        <v>1.2727272727272727</v>
      </c>
      <c r="E12" s="7"/>
      <c r="F12" s="7"/>
      <c r="G12" s="7"/>
      <c r="H12" s="7"/>
      <c r="I12" s="1" t="s">
        <v>73</v>
      </c>
    </row>
    <row r="13" spans="1:9" ht="15.75" customHeight="1">
      <c r="A13" s="8">
        <v>12</v>
      </c>
      <c r="B13" s="17">
        <v>6.5</v>
      </c>
      <c r="C13" s="17">
        <v>5.5</v>
      </c>
      <c r="D13" s="6">
        <f t="shared" si="0"/>
        <v>1.1818181818181819</v>
      </c>
      <c r="E13" s="7"/>
      <c r="F13" s="7"/>
      <c r="G13" s="7"/>
      <c r="H13" s="7"/>
      <c r="I13" s="1" t="s">
        <v>73</v>
      </c>
    </row>
    <row r="14" spans="1:9" ht="15.75" customHeight="1">
      <c r="A14" s="8">
        <v>13</v>
      </c>
      <c r="B14" s="17">
        <v>7.5</v>
      </c>
      <c r="C14" s="17">
        <v>5.5</v>
      </c>
      <c r="D14" s="6">
        <f t="shared" si="0"/>
        <v>1.3636363636363635</v>
      </c>
      <c r="E14" s="7"/>
      <c r="F14" s="7"/>
      <c r="G14" s="7"/>
      <c r="H14" s="7"/>
      <c r="I14" s="1" t="s">
        <v>73</v>
      </c>
    </row>
    <row r="15" spans="1:9" ht="15.75" customHeight="1">
      <c r="A15" s="8">
        <v>14</v>
      </c>
      <c r="B15" s="17">
        <v>6.5</v>
      </c>
      <c r="C15" s="17">
        <v>5.5</v>
      </c>
      <c r="D15" s="6">
        <f t="shared" si="0"/>
        <v>1.1818181818181819</v>
      </c>
      <c r="E15" s="7"/>
      <c r="F15" s="7"/>
      <c r="G15" s="7"/>
      <c r="H15" s="7"/>
      <c r="I15" s="1" t="s">
        <v>73</v>
      </c>
    </row>
    <row r="16" spans="1:9" ht="15.75" customHeight="1">
      <c r="A16" s="8">
        <v>15</v>
      </c>
      <c r="B16" s="17">
        <v>7.5</v>
      </c>
      <c r="C16" s="17">
        <v>6</v>
      </c>
      <c r="D16" s="6">
        <f t="shared" si="0"/>
        <v>1.25</v>
      </c>
      <c r="E16" s="7"/>
      <c r="F16" s="7"/>
      <c r="G16" s="7"/>
      <c r="H16" s="7"/>
      <c r="I16" s="1" t="s">
        <v>73</v>
      </c>
    </row>
    <row r="17" spans="1:9" ht="15.75" customHeight="1">
      <c r="A17" s="8">
        <v>16</v>
      </c>
      <c r="B17" s="17">
        <v>7.5</v>
      </c>
      <c r="C17" s="17">
        <v>5.5</v>
      </c>
      <c r="D17" s="6">
        <f t="shared" si="0"/>
        <v>1.3636363636363635</v>
      </c>
      <c r="E17" s="7"/>
      <c r="F17" s="7"/>
      <c r="G17" s="7"/>
      <c r="H17" s="7"/>
      <c r="I17" s="1" t="s">
        <v>73</v>
      </c>
    </row>
    <row r="18" spans="1:9" ht="15.75" customHeight="1">
      <c r="A18" s="8">
        <v>17</v>
      </c>
      <c r="B18" s="17">
        <v>7.5</v>
      </c>
      <c r="C18" s="17">
        <v>5.5</v>
      </c>
      <c r="D18" s="6">
        <f t="shared" si="0"/>
        <v>1.3636363636363635</v>
      </c>
      <c r="E18" s="7"/>
      <c r="F18" s="7"/>
      <c r="G18" s="7"/>
      <c r="H18" s="7"/>
      <c r="I18" s="1" t="s">
        <v>73</v>
      </c>
    </row>
    <row r="19" spans="1:9" ht="15.75" customHeight="1">
      <c r="A19" s="8">
        <v>18</v>
      </c>
      <c r="B19" s="17">
        <v>7.5</v>
      </c>
      <c r="C19" s="17">
        <v>6.5</v>
      </c>
      <c r="D19" s="6">
        <f t="shared" si="0"/>
        <v>1.1538461538461537</v>
      </c>
      <c r="E19" s="7"/>
      <c r="F19" s="7"/>
      <c r="G19" s="7"/>
      <c r="H19" s="7"/>
      <c r="I19" s="1" t="s">
        <v>73</v>
      </c>
    </row>
    <row r="20" spans="1:9" ht="15.75" customHeight="1">
      <c r="A20" s="8">
        <v>19</v>
      </c>
      <c r="B20" s="17">
        <v>7</v>
      </c>
      <c r="C20" s="17">
        <v>6</v>
      </c>
      <c r="D20" s="6">
        <f t="shared" si="0"/>
        <v>1.1666666666666667</v>
      </c>
      <c r="E20" s="7"/>
      <c r="F20" s="7"/>
      <c r="G20" s="7"/>
      <c r="H20" s="7"/>
      <c r="I20" s="1" t="s">
        <v>73</v>
      </c>
    </row>
    <row r="21" spans="1:9" ht="15.75" customHeight="1">
      <c r="A21" s="8">
        <v>20</v>
      </c>
      <c r="B21" s="17">
        <v>7.5</v>
      </c>
      <c r="C21" s="17">
        <v>6</v>
      </c>
      <c r="D21" s="6">
        <f t="shared" si="0"/>
        <v>1.25</v>
      </c>
      <c r="E21" s="7"/>
      <c r="F21" s="7"/>
      <c r="G21" s="7"/>
      <c r="H21" s="7"/>
      <c r="I21" s="1" t="s">
        <v>73</v>
      </c>
    </row>
    <row r="22" spans="1:9" ht="15.75" customHeight="1">
      <c r="A22" s="8">
        <v>21</v>
      </c>
      <c r="B22" s="17">
        <v>7</v>
      </c>
      <c r="C22" s="17">
        <v>6</v>
      </c>
      <c r="D22" s="6">
        <f t="shared" si="0"/>
        <v>1.1666666666666667</v>
      </c>
      <c r="E22" s="7"/>
      <c r="F22" s="7"/>
      <c r="G22" s="7"/>
      <c r="H22" s="7"/>
      <c r="I22" s="1" t="s">
        <v>73</v>
      </c>
    </row>
    <row r="23" spans="1:9" ht="15.75" customHeight="1">
      <c r="A23" s="8">
        <v>22</v>
      </c>
      <c r="B23" s="17">
        <v>6.5</v>
      </c>
      <c r="C23" s="17">
        <v>6</v>
      </c>
      <c r="D23" s="6">
        <f t="shared" si="0"/>
        <v>1.0833333333333333</v>
      </c>
      <c r="E23" s="7"/>
      <c r="F23" s="7"/>
      <c r="G23" s="7"/>
      <c r="H23" s="7"/>
      <c r="I23" s="1" t="s">
        <v>73</v>
      </c>
    </row>
    <row r="24" spans="1:9" ht="15.75" customHeight="1">
      <c r="A24" s="8">
        <v>23</v>
      </c>
      <c r="B24" s="17">
        <v>7.5</v>
      </c>
      <c r="C24" s="17">
        <v>6.5</v>
      </c>
      <c r="D24" s="6">
        <f t="shared" si="0"/>
        <v>1.1538461538461537</v>
      </c>
      <c r="E24" s="7"/>
      <c r="F24" s="7"/>
      <c r="G24" s="7"/>
      <c r="H24" s="7"/>
      <c r="I24" s="1" t="s">
        <v>73</v>
      </c>
    </row>
    <row r="25" spans="1:9" ht="15.75" customHeight="1">
      <c r="A25" s="8">
        <v>24</v>
      </c>
      <c r="B25" s="17">
        <v>7</v>
      </c>
      <c r="C25" s="17">
        <v>6.5</v>
      </c>
      <c r="D25" s="6">
        <f t="shared" si="0"/>
        <v>1.0769230769230769</v>
      </c>
      <c r="E25" s="7"/>
      <c r="F25" s="7"/>
      <c r="G25" s="7"/>
      <c r="H25" s="7"/>
      <c r="I25" s="1" t="s">
        <v>73</v>
      </c>
    </row>
    <row r="26" spans="1:9" ht="15.75" customHeight="1">
      <c r="A26" s="8">
        <v>25</v>
      </c>
      <c r="B26" s="17">
        <v>7</v>
      </c>
      <c r="C26" s="17">
        <v>5</v>
      </c>
      <c r="D26" s="6">
        <f t="shared" si="0"/>
        <v>1.4</v>
      </c>
      <c r="E26" s="7"/>
      <c r="F26" s="7"/>
      <c r="G26" s="7"/>
      <c r="H26" s="7"/>
      <c r="I26" s="1" t="s">
        <v>73</v>
      </c>
    </row>
    <row r="27" spans="1:9" ht="15.75" customHeight="1">
      <c r="A27" s="4" t="s">
        <v>10</v>
      </c>
      <c r="B27" s="5">
        <f t="shared" ref="B27:D27" si="1">AVERAGE(B2:B26)</f>
        <v>7.28</v>
      </c>
      <c r="C27" s="5">
        <f t="shared" si="1"/>
        <v>5.9</v>
      </c>
      <c r="D27" s="9">
        <f t="shared" si="1"/>
        <v>1.2397635697635698</v>
      </c>
      <c r="E27" s="7"/>
      <c r="F27" s="7"/>
      <c r="G27" s="7"/>
      <c r="H27" s="7"/>
    </row>
    <row r="28" spans="1:9" ht="15.75" customHeight="1">
      <c r="A28" s="4" t="s">
        <v>11</v>
      </c>
      <c r="B28" s="5">
        <f t="shared" ref="B28:D28" si="2">MIN(B3:B26)</f>
        <v>6.5</v>
      </c>
      <c r="C28" s="5">
        <f t="shared" si="2"/>
        <v>5</v>
      </c>
      <c r="D28" s="9">
        <f t="shared" si="2"/>
        <v>1</v>
      </c>
      <c r="E28" s="7"/>
      <c r="F28" s="7"/>
      <c r="G28" s="7"/>
      <c r="H28" s="7"/>
    </row>
    <row r="29" spans="1:9" ht="15.75" customHeight="1">
      <c r="A29" s="4" t="s">
        <v>12</v>
      </c>
      <c r="B29" s="5">
        <f t="shared" ref="B29:D29" si="3">MAX(B4:B26)</f>
        <v>9.5</v>
      </c>
      <c r="C29" s="5">
        <f t="shared" si="3"/>
        <v>7</v>
      </c>
      <c r="D29" s="9">
        <f t="shared" si="3"/>
        <v>1.6</v>
      </c>
      <c r="E29" s="7"/>
      <c r="F29" s="7"/>
      <c r="G29" s="7"/>
      <c r="H29" s="7"/>
    </row>
    <row r="30" spans="1:9" ht="15.75" customHeight="1">
      <c r="A30" s="2"/>
      <c r="B30" s="7"/>
      <c r="C30" s="7"/>
      <c r="D30" s="10"/>
      <c r="E30" s="7"/>
      <c r="F30" s="7"/>
      <c r="G30" s="7"/>
      <c r="H30" s="7"/>
    </row>
    <row r="31" spans="1:9" ht="15.75" customHeight="1">
      <c r="A31" s="2"/>
      <c r="B31" s="7"/>
      <c r="C31" s="7"/>
      <c r="D31" s="10"/>
      <c r="E31" s="7"/>
      <c r="F31" s="7"/>
      <c r="G31" s="7"/>
      <c r="H31" s="7"/>
    </row>
    <row r="32" spans="1:9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11" ht="15.75" customHeight="1">
      <c r="A33" s="4">
        <v>1</v>
      </c>
      <c r="B33" s="17">
        <v>33.5</v>
      </c>
      <c r="C33" s="17">
        <v>9.5</v>
      </c>
      <c r="D33" s="13">
        <v>2</v>
      </c>
      <c r="E33" s="17" t="s">
        <v>74</v>
      </c>
      <c r="F33" s="7"/>
      <c r="G33" s="7"/>
      <c r="H33" s="7"/>
    </row>
    <row r="34" spans="1:11" ht="15.75" customHeight="1">
      <c r="A34" s="4">
        <v>2</v>
      </c>
      <c r="B34" s="17">
        <v>30</v>
      </c>
      <c r="C34" s="17">
        <v>9</v>
      </c>
      <c r="D34" s="13">
        <v>2</v>
      </c>
      <c r="E34" s="17">
        <v>5</v>
      </c>
      <c r="F34" s="7"/>
      <c r="G34" s="7"/>
      <c r="H34" s="7"/>
    </row>
    <row r="35" spans="1:11" ht="15.75" customHeight="1">
      <c r="A35" s="4">
        <v>3</v>
      </c>
      <c r="B35" s="17">
        <v>36</v>
      </c>
      <c r="C35" s="17">
        <v>8</v>
      </c>
      <c r="D35" s="13">
        <v>2</v>
      </c>
      <c r="E35" s="14" t="s">
        <v>34</v>
      </c>
      <c r="F35" s="7"/>
      <c r="G35" s="7"/>
      <c r="H35" s="7"/>
    </row>
    <row r="36" spans="1:11" ht="15.75" customHeight="1">
      <c r="A36" s="4">
        <v>4</v>
      </c>
      <c r="B36" s="17">
        <v>44</v>
      </c>
      <c r="C36" s="17">
        <v>9</v>
      </c>
      <c r="D36" s="13">
        <v>2</v>
      </c>
      <c r="E36" s="17" t="s">
        <v>34</v>
      </c>
      <c r="F36" s="7"/>
      <c r="G36" s="7"/>
      <c r="H36" s="7"/>
    </row>
    <row r="37" spans="1:11" ht="15.75" customHeight="1">
      <c r="A37" s="4">
        <v>5</v>
      </c>
      <c r="B37" s="17">
        <v>32</v>
      </c>
      <c r="C37" s="17">
        <v>8.5</v>
      </c>
      <c r="D37" s="13">
        <v>2</v>
      </c>
      <c r="E37" s="17" t="s">
        <v>34</v>
      </c>
      <c r="F37" s="7"/>
      <c r="G37" s="7"/>
      <c r="H37" s="7"/>
    </row>
    <row r="38" spans="1:11" ht="15.75" customHeight="1">
      <c r="A38" s="4">
        <v>6</v>
      </c>
      <c r="B38" s="17">
        <v>33.5</v>
      </c>
      <c r="C38" s="17">
        <v>8</v>
      </c>
      <c r="D38" s="13">
        <v>2</v>
      </c>
      <c r="E38" s="17" t="s">
        <v>75</v>
      </c>
      <c r="F38" s="7"/>
      <c r="G38" s="7"/>
      <c r="H38" s="7"/>
    </row>
    <row r="39" spans="1:11" ht="15.75" customHeight="1">
      <c r="A39" s="4">
        <v>7</v>
      </c>
      <c r="B39" s="17">
        <v>33</v>
      </c>
      <c r="C39" s="17">
        <v>8</v>
      </c>
      <c r="D39" s="13" t="s">
        <v>76</v>
      </c>
      <c r="E39" s="17" t="s">
        <v>77</v>
      </c>
      <c r="F39" s="7"/>
      <c r="G39" s="7"/>
      <c r="H39" s="7"/>
      <c r="I39" s="1" t="s">
        <v>78</v>
      </c>
      <c r="J39" s="1" t="s">
        <v>79</v>
      </c>
    </row>
    <row r="40" spans="1:11" ht="15.75" customHeight="1">
      <c r="A40" s="4">
        <v>8</v>
      </c>
      <c r="B40" s="17">
        <v>29.5</v>
      </c>
      <c r="C40" s="17">
        <v>11</v>
      </c>
      <c r="D40" s="13" t="s">
        <v>76</v>
      </c>
      <c r="E40" s="17" t="s">
        <v>80</v>
      </c>
      <c r="F40" s="7"/>
      <c r="G40" s="7"/>
      <c r="H40" s="7"/>
      <c r="I40" s="1" t="s">
        <v>78</v>
      </c>
      <c r="J40" s="1" t="s">
        <v>81</v>
      </c>
      <c r="K40" s="1" t="s">
        <v>82</v>
      </c>
    </row>
    <row r="41" spans="1:11" ht="15.75" customHeight="1">
      <c r="A41" s="4">
        <v>9</v>
      </c>
      <c r="B41" s="17" t="s">
        <v>83</v>
      </c>
      <c r="C41" s="17">
        <v>9.5</v>
      </c>
      <c r="D41" s="13" t="s">
        <v>76</v>
      </c>
      <c r="E41" s="17">
        <v>3</v>
      </c>
      <c r="F41" s="7"/>
      <c r="G41" s="7"/>
      <c r="H41" s="7"/>
      <c r="I41" s="1" t="s">
        <v>84</v>
      </c>
      <c r="J41" s="1" t="s">
        <v>79</v>
      </c>
    </row>
    <row r="42" spans="1:11" ht="15.75" customHeight="1">
      <c r="A42" s="4">
        <v>10</v>
      </c>
      <c r="B42" s="17" t="s">
        <v>85</v>
      </c>
      <c r="C42" s="17">
        <v>8.5</v>
      </c>
      <c r="D42" s="13" t="s">
        <v>76</v>
      </c>
      <c r="E42" s="17">
        <v>1.5</v>
      </c>
      <c r="F42" s="7"/>
      <c r="G42" s="7"/>
      <c r="H42" s="7"/>
      <c r="I42" s="1" t="s">
        <v>84</v>
      </c>
      <c r="J42" s="1" t="s">
        <v>81</v>
      </c>
    </row>
    <row r="43" spans="1:11" ht="15.75" customHeight="1">
      <c r="A43" s="8">
        <v>11</v>
      </c>
      <c r="B43" s="17" t="s">
        <v>86</v>
      </c>
      <c r="C43" s="17">
        <v>8</v>
      </c>
      <c r="D43" s="13">
        <v>2</v>
      </c>
      <c r="E43" s="17">
        <v>6</v>
      </c>
      <c r="F43" s="7"/>
      <c r="G43" s="7"/>
      <c r="H43" s="7"/>
      <c r="I43" s="1" t="s">
        <v>84</v>
      </c>
    </row>
    <row r="44" spans="1:11" ht="15.75" customHeight="1">
      <c r="A44" s="8">
        <v>12</v>
      </c>
      <c r="B44" s="1">
        <v>29</v>
      </c>
      <c r="C44" s="1">
        <v>8.5</v>
      </c>
      <c r="D44" s="12">
        <v>2</v>
      </c>
      <c r="E44" s="1">
        <v>5.5</v>
      </c>
      <c r="F44" s="7"/>
      <c r="G44" s="7"/>
      <c r="H44" s="7"/>
      <c r="I44" s="1" t="s">
        <v>73</v>
      </c>
    </row>
    <row r="45" spans="1:11" ht="15.75" customHeight="1">
      <c r="A45" s="8">
        <v>13</v>
      </c>
      <c r="D45" s="12"/>
      <c r="F45" s="7"/>
      <c r="G45" s="7"/>
      <c r="H45" s="7"/>
    </row>
    <row r="46" spans="1:11" ht="15.75" customHeight="1">
      <c r="A46" s="8">
        <v>14</v>
      </c>
      <c r="D46" s="12"/>
      <c r="F46" s="7"/>
      <c r="G46" s="7"/>
      <c r="H46" s="7"/>
    </row>
    <row r="47" spans="1:11" ht="15.75" customHeight="1">
      <c r="A47" s="8">
        <v>15</v>
      </c>
      <c r="D47" s="12"/>
      <c r="F47" s="7"/>
      <c r="G47" s="7"/>
      <c r="H47" s="7"/>
    </row>
    <row r="48" spans="1:11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>
        <v>2</v>
      </c>
      <c r="F50" s="7"/>
      <c r="G50" s="7"/>
      <c r="H50" s="7"/>
    </row>
    <row r="51" spans="1:8" ht="15.75" customHeight="1">
      <c r="A51" s="8">
        <v>19</v>
      </c>
      <c r="D51" s="12">
        <v>2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2</v>
      </c>
      <c r="E52" s="7"/>
      <c r="F52" s="7"/>
      <c r="G52" s="7"/>
      <c r="H52" s="7"/>
    </row>
    <row r="53" spans="1:8" ht="15.75" customHeight="1">
      <c r="A53" s="8">
        <v>21</v>
      </c>
      <c r="B53" s="17" t="s">
        <v>87</v>
      </c>
      <c r="C53" s="17">
        <v>9.5</v>
      </c>
      <c r="D53" s="13">
        <v>2</v>
      </c>
      <c r="E53" s="17">
        <v>5.5</v>
      </c>
      <c r="F53" s="7"/>
      <c r="G53" s="7"/>
      <c r="H53" s="7"/>
    </row>
    <row r="54" spans="1:8" ht="14">
      <c r="A54" s="8">
        <v>22</v>
      </c>
      <c r="B54" s="5"/>
      <c r="C54" s="5"/>
      <c r="D54" s="13">
        <v>2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2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33.388888888888886</v>
      </c>
      <c r="C58" s="5">
        <f t="shared" si="4"/>
        <v>8.8461538461538467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29</v>
      </c>
      <c r="C59" s="5">
        <f t="shared" si="5"/>
        <v>8</v>
      </c>
      <c r="D59" s="11">
        <f t="shared" si="5"/>
        <v>2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44</v>
      </c>
      <c r="C60" s="5">
        <f t="shared" si="6"/>
        <v>11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88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H1006"/>
  <sheetViews>
    <sheetView workbookViewId="0"/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5"/>
      <c r="C2" s="5"/>
      <c r="D2" s="6" t="e">
        <f t="shared" ref="D2:D26" si="0">B2/C2</f>
        <v>#DIV/0!</v>
      </c>
      <c r="E2" s="7"/>
      <c r="F2" s="7"/>
      <c r="G2" s="7"/>
      <c r="H2" s="7"/>
    </row>
    <row r="3" spans="1:8" ht="15.75" customHeight="1">
      <c r="A3" s="4">
        <v>2</v>
      </c>
      <c r="B3" s="5"/>
      <c r="C3" s="5"/>
      <c r="D3" s="6" t="e">
        <f t="shared" si="0"/>
        <v>#DIV/0!</v>
      </c>
      <c r="E3" s="7"/>
      <c r="F3" s="7"/>
      <c r="G3" s="7"/>
      <c r="H3" s="7"/>
    </row>
    <row r="4" spans="1:8" ht="15.75" customHeight="1">
      <c r="A4" s="4">
        <v>3</v>
      </c>
      <c r="B4" s="5"/>
      <c r="C4" s="5"/>
      <c r="D4" s="6" t="e">
        <f t="shared" si="0"/>
        <v>#DIV/0!</v>
      </c>
      <c r="E4" s="7"/>
      <c r="F4" s="7"/>
      <c r="G4" s="7"/>
      <c r="H4" s="7"/>
    </row>
    <row r="5" spans="1:8" ht="15.75" customHeight="1">
      <c r="A5" s="4">
        <v>4</v>
      </c>
      <c r="B5" s="5"/>
      <c r="C5" s="5"/>
      <c r="D5" s="6" t="e">
        <f t="shared" si="0"/>
        <v>#DIV/0!</v>
      </c>
      <c r="E5" s="7"/>
      <c r="F5" s="7"/>
      <c r="G5" s="7"/>
      <c r="H5" s="7"/>
    </row>
    <row r="6" spans="1:8" ht="15.75" customHeight="1">
      <c r="A6" s="4">
        <v>5</v>
      </c>
      <c r="B6" s="5"/>
      <c r="C6" s="5"/>
      <c r="D6" s="6" t="e">
        <f t="shared" si="0"/>
        <v>#DIV/0!</v>
      </c>
      <c r="E6" s="7"/>
      <c r="F6" s="7"/>
      <c r="G6" s="7"/>
      <c r="H6" s="7"/>
    </row>
    <row r="7" spans="1:8" ht="15.75" customHeight="1">
      <c r="A7" s="4">
        <v>6</v>
      </c>
      <c r="B7" s="5"/>
      <c r="C7" s="5"/>
      <c r="D7" s="6" t="e">
        <f t="shared" si="0"/>
        <v>#DIV/0!</v>
      </c>
      <c r="E7" s="7"/>
      <c r="F7" s="7"/>
      <c r="G7" s="7"/>
      <c r="H7" s="7"/>
    </row>
    <row r="8" spans="1:8" ht="15.75" customHeight="1">
      <c r="A8" s="4">
        <v>7</v>
      </c>
      <c r="B8" s="5"/>
      <c r="C8" s="5"/>
      <c r="D8" s="6" t="e">
        <f t="shared" si="0"/>
        <v>#DIV/0!</v>
      </c>
      <c r="E8" s="7"/>
      <c r="F8" s="7"/>
      <c r="G8" s="7"/>
      <c r="H8" s="7"/>
    </row>
    <row r="9" spans="1:8" ht="15.75" customHeight="1">
      <c r="A9" s="4">
        <v>8</v>
      </c>
      <c r="B9" s="5"/>
      <c r="C9" s="5"/>
      <c r="D9" s="6" t="e">
        <f t="shared" si="0"/>
        <v>#DIV/0!</v>
      </c>
      <c r="E9" s="7"/>
      <c r="F9" s="7"/>
      <c r="G9" s="7"/>
      <c r="H9" s="7"/>
    </row>
    <row r="10" spans="1:8" ht="15.75" customHeight="1">
      <c r="A10" s="4">
        <v>9</v>
      </c>
      <c r="B10" s="5"/>
      <c r="C10" s="5"/>
      <c r="D10" s="6" t="e">
        <f t="shared" si="0"/>
        <v>#DIV/0!</v>
      </c>
      <c r="E10" s="7"/>
      <c r="F10" s="7"/>
      <c r="G10" s="7"/>
      <c r="H10" s="7"/>
    </row>
    <row r="11" spans="1:8" ht="15.75" customHeight="1">
      <c r="A11" s="4">
        <v>10</v>
      </c>
      <c r="B11" s="5"/>
      <c r="C11" s="5"/>
      <c r="D11" s="6" t="e">
        <f t="shared" si="0"/>
        <v>#DIV/0!</v>
      </c>
      <c r="E11" s="7"/>
      <c r="F11" s="7"/>
      <c r="G11" s="7"/>
      <c r="H11" s="7"/>
    </row>
    <row r="12" spans="1:8" ht="15.75" customHeight="1">
      <c r="A12" s="8">
        <v>11</v>
      </c>
      <c r="B12" s="5"/>
      <c r="C12" s="5"/>
      <c r="D12" s="6" t="e">
        <f t="shared" si="0"/>
        <v>#DIV/0!</v>
      </c>
      <c r="E12" s="7"/>
      <c r="F12" s="7"/>
      <c r="G12" s="7"/>
      <c r="H12" s="7"/>
    </row>
    <row r="13" spans="1:8" ht="15.75" customHeight="1">
      <c r="A13" s="8">
        <v>12</v>
      </c>
      <c r="B13" s="5"/>
      <c r="C13" s="5"/>
      <c r="D13" s="6" t="e">
        <f t="shared" si="0"/>
        <v>#DIV/0!</v>
      </c>
      <c r="E13" s="7"/>
      <c r="F13" s="7"/>
      <c r="G13" s="7"/>
      <c r="H13" s="7"/>
    </row>
    <row r="14" spans="1:8" ht="15.75" customHeight="1">
      <c r="A14" s="8">
        <v>13</v>
      </c>
      <c r="B14" s="5"/>
      <c r="C14" s="5"/>
      <c r="D14" s="6" t="e">
        <f t="shared" si="0"/>
        <v>#DIV/0!</v>
      </c>
      <c r="E14" s="7"/>
      <c r="F14" s="7"/>
      <c r="G14" s="7"/>
      <c r="H14" s="7"/>
    </row>
    <row r="15" spans="1:8" ht="15.75" customHeight="1">
      <c r="A15" s="8">
        <v>14</v>
      </c>
      <c r="B15" s="5"/>
      <c r="C15" s="5"/>
      <c r="D15" s="6" t="e">
        <f t="shared" si="0"/>
        <v>#DIV/0!</v>
      </c>
      <c r="E15" s="7"/>
      <c r="F15" s="7"/>
      <c r="G15" s="7"/>
      <c r="H15" s="7"/>
    </row>
    <row r="16" spans="1:8" ht="15.75" customHeight="1">
      <c r="A16" s="8">
        <v>15</v>
      </c>
      <c r="B16" s="5"/>
      <c r="C16" s="5"/>
      <c r="D16" s="6" t="e">
        <f t="shared" si="0"/>
        <v>#DIV/0!</v>
      </c>
      <c r="E16" s="7"/>
      <c r="F16" s="7"/>
      <c r="G16" s="7"/>
      <c r="H16" s="7"/>
    </row>
    <row r="17" spans="1:8" ht="15.75" customHeight="1">
      <c r="A17" s="8">
        <v>16</v>
      </c>
      <c r="B17" s="5"/>
      <c r="C17" s="5"/>
      <c r="D17" s="6" t="e">
        <f t="shared" si="0"/>
        <v>#DIV/0!</v>
      </c>
      <c r="E17" s="7"/>
      <c r="F17" s="7"/>
      <c r="G17" s="7"/>
      <c r="H17" s="7"/>
    </row>
    <row r="18" spans="1:8" ht="15.75" customHeight="1">
      <c r="A18" s="8">
        <v>17</v>
      </c>
      <c r="B18" s="5"/>
      <c r="C18" s="5"/>
      <c r="D18" s="6" t="e">
        <f t="shared" si="0"/>
        <v>#DIV/0!</v>
      </c>
      <c r="E18" s="7"/>
      <c r="F18" s="7"/>
      <c r="G18" s="7"/>
      <c r="H18" s="7"/>
    </row>
    <row r="19" spans="1:8" ht="15.75" customHeight="1">
      <c r="A19" s="8">
        <v>18</v>
      </c>
      <c r="B19" s="5"/>
      <c r="C19" s="5"/>
      <c r="D19" s="6" t="e">
        <f t="shared" si="0"/>
        <v>#DIV/0!</v>
      </c>
      <c r="E19" s="7"/>
      <c r="F19" s="7"/>
      <c r="G19" s="7"/>
      <c r="H19" s="7"/>
    </row>
    <row r="20" spans="1:8" ht="15.75" customHeight="1">
      <c r="A20" s="8">
        <v>19</v>
      </c>
      <c r="B20" s="5"/>
      <c r="C20" s="5"/>
      <c r="D20" s="6" t="e">
        <f t="shared" si="0"/>
        <v>#DIV/0!</v>
      </c>
      <c r="E20" s="7"/>
      <c r="F20" s="7"/>
      <c r="G20" s="7"/>
      <c r="H20" s="7"/>
    </row>
    <row r="21" spans="1:8" ht="15.75" customHeight="1">
      <c r="A21" s="8">
        <v>20</v>
      </c>
      <c r="B21" s="5"/>
      <c r="C21" s="5"/>
      <c r="D21" s="6" t="e">
        <f t="shared" si="0"/>
        <v>#DIV/0!</v>
      </c>
      <c r="E21" s="7"/>
      <c r="F21" s="7"/>
      <c r="G21" s="7"/>
      <c r="H21" s="7"/>
    </row>
    <row r="22" spans="1:8" ht="15.75" customHeight="1">
      <c r="A22" s="8">
        <v>21</v>
      </c>
      <c r="B22" s="5"/>
      <c r="C22" s="5"/>
      <c r="D22" s="6" t="e">
        <f t="shared" si="0"/>
        <v>#DIV/0!</v>
      </c>
      <c r="E22" s="7"/>
      <c r="F22" s="7"/>
      <c r="G22" s="7"/>
      <c r="H22" s="7"/>
    </row>
    <row r="23" spans="1:8" ht="15.75" customHeight="1">
      <c r="A23" s="8">
        <v>22</v>
      </c>
      <c r="B23" s="5"/>
      <c r="C23" s="5"/>
      <c r="D23" s="6" t="e">
        <f t="shared" si="0"/>
        <v>#DIV/0!</v>
      </c>
      <c r="E23" s="7"/>
      <c r="F23" s="7"/>
      <c r="G23" s="7"/>
      <c r="H23" s="7"/>
    </row>
    <row r="24" spans="1:8" ht="15.75" customHeight="1">
      <c r="A24" s="8">
        <v>23</v>
      </c>
      <c r="B24" s="5"/>
      <c r="C24" s="5"/>
      <c r="D24" s="6" t="e">
        <f t="shared" si="0"/>
        <v>#DIV/0!</v>
      </c>
      <c r="E24" s="7"/>
      <c r="F24" s="7"/>
      <c r="G24" s="7"/>
      <c r="H24" s="7"/>
    </row>
    <row r="25" spans="1:8" ht="15.75" customHeight="1">
      <c r="A25" s="8">
        <v>24</v>
      </c>
      <c r="B25" s="5"/>
      <c r="C25" s="5"/>
      <c r="D25" s="6" t="e">
        <f t="shared" si="0"/>
        <v>#DIV/0!</v>
      </c>
      <c r="E25" s="7"/>
      <c r="F25" s="7"/>
      <c r="G25" s="7"/>
      <c r="H25" s="7"/>
    </row>
    <row r="26" spans="1:8" ht="15.75" customHeight="1">
      <c r="A26" s="8">
        <v>25</v>
      </c>
      <c r="B26" s="5"/>
      <c r="C26" s="5"/>
      <c r="D26" s="6" t="e">
        <f t="shared" si="0"/>
        <v>#DIV/0!</v>
      </c>
      <c r="E26" s="7"/>
      <c r="F26" s="7"/>
      <c r="G26" s="7"/>
      <c r="H26" s="7"/>
    </row>
    <row r="27" spans="1:8" ht="15.75" customHeight="1">
      <c r="A27" s="4" t="s">
        <v>10</v>
      </c>
      <c r="B27" s="5" t="e">
        <f t="shared" ref="B27:D27" si="1">AVERAGE(B2:B26)</f>
        <v>#DIV/0!</v>
      </c>
      <c r="C27" s="5" t="e">
        <f t="shared" si="1"/>
        <v>#DIV/0!</v>
      </c>
      <c r="D27" s="9" t="e">
        <f t="shared" si="1"/>
        <v>#DIV/0!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0</v>
      </c>
      <c r="C28" s="5">
        <f t="shared" si="2"/>
        <v>0</v>
      </c>
      <c r="D28" s="9" t="e">
        <f t="shared" si="2"/>
        <v>#DIV/0!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0</v>
      </c>
      <c r="C29" s="5">
        <f t="shared" si="3"/>
        <v>0</v>
      </c>
      <c r="D29" s="9" t="e">
        <f t="shared" si="3"/>
        <v>#DIV/0!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5"/>
      <c r="C33" s="5"/>
      <c r="D33" s="11"/>
      <c r="E33" s="5"/>
      <c r="F33" s="7"/>
      <c r="G33" s="7"/>
      <c r="H33" s="7"/>
    </row>
    <row r="34" spans="1:8" ht="15.75" customHeight="1">
      <c r="A34" s="4">
        <v>2</v>
      </c>
      <c r="B34" s="5"/>
      <c r="C34" s="5"/>
      <c r="D34" s="11"/>
      <c r="E34" s="5"/>
      <c r="F34" s="7"/>
      <c r="G34" s="7"/>
      <c r="H34" s="7"/>
    </row>
    <row r="35" spans="1:8" ht="15.75" customHeight="1">
      <c r="A35" s="4">
        <v>3</v>
      </c>
      <c r="B35" s="5"/>
      <c r="C35" s="5"/>
      <c r="D35" s="11"/>
      <c r="E35" s="7"/>
      <c r="F35" s="7"/>
      <c r="G35" s="7"/>
      <c r="H35" s="7"/>
    </row>
    <row r="36" spans="1:8" ht="15.75" customHeight="1">
      <c r="A36" s="4">
        <v>4</v>
      </c>
      <c r="B36" s="5"/>
      <c r="C36" s="5"/>
      <c r="D36" s="11"/>
      <c r="E36" s="5"/>
      <c r="F36" s="7"/>
      <c r="G36" s="7"/>
      <c r="H36" s="7"/>
    </row>
    <row r="37" spans="1:8" ht="15.75" customHeight="1">
      <c r="A37" s="4">
        <v>5</v>
      </c>
      <c r="B37" s="5"/>
      <c r="C37" s="5"/>
      <c r="D37" s="11"/>
      <c r="E37" s="5"/>
      <c r="F37" s="7"/>
      <c r="G37" s="7"/>
      <c r="H37" s="7"/>
    </row>
    <row r="38" spans="1:8" ht="15.75" customHeight="1">
      <c r="A38" s="4">
        <v>6</v>
      </c>
      <c r="B38" s="5"/>
      <c r="C38" s="5"/>
      <c r="D38" s="11"/>
      <c r="E38" s="5"/>
      <c r="F38" s="7"/>
      <c r="G38" s="7"/>
      <c r="H38" s="7"/>
    </row>
    <row r="39" spans="1:8" ht="15.75" customHeight="1">
      <c r="A39" s="4">
        <v>7</v>
      </c>
      <c r="B39" s="5"/>
      <c r="C39" s="5"/>
      <c r="D39" s="11"/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 t="e">
        <f t="shared" ref="B58:C58" si="4">AVERAGE(B33:B57)</f>
        <v>#DIV/0!</v>
      </c>
      <c r="C58" s="5" t="e">
        <f t="shared" si="4"/>
        <v>#DIV/0!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0</v>
      </c>
      <c r="C59" s="5">
        <f t="shared" si="5"/>
        <v>0</v>
      </c>
      <c r="D59" s="11">
        <f t="shared" si="5"/>
        <v>0</v>
      </c>
      <c r="E59" s="7"/>
      <c r="F59" s="7"/>
      <c r="G59" s="7"/>
      <c r="H59" s="7"/>
    </row>
    <row r="60" spans="1:8" ht="14">
      <c r="A60" s="4" t="s">
        <v>12</v>
      </c>
      <c r="B60" s="5" t="e">
        <f t="shared" ref="B60:D60" si="6">MAX(B34:B58)</f>
        <v>#DIV/0!</v>
      </c>
      <c r="C60" s="5" t="e">
        <f t="shared" si="6"/>
        <v>#DIV/0!</v>
      </c>
      <c r="D60" s="11">
        <f t="shared" si="6"/>
        <v>0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I1006"/>
  <sheetViews>
    <sheetView workbookViewId="0"/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1" t="s">
        <v>89</v>
      </c>
    </row>
    <row r="2" spans="1:9" ht="15.75" customHeight="1">
      <c r="A2" s="4">
        <v>1</v>
      </c>
      <c r="B2" s="17">
        <v>9</v>
      </c>
      <c r="C2" s="17">
        <v>7</v>
      </c>
      <c r="D2" s="6">
        <f t="shared" ref="D2:D26" si="0">B2/C2</f>
        <v>1.2857142857142858</v>
      </c>
      <c r="E2" s="14" t="s">
        <v>29</v>
      </c>
      <c r="F2" s="14" t="s">
        <v>30</v>
      </c>
      <c r="G2" s="7"/>
      <c r="H2" s="7"/>
    </row>
    <row r="3" spans="1:9" ht="15.75" customHeight="1">
      <c r="A3" s="4">
        <v>2</v>
      </c>
      <c r="B3" s="17">
        <v>8</v>
      </c>
      <c r="C3" s="17">
        <v>6.5</v>
      </c>
      <c r="D3" s="6">
        <f t="shared" si="0"/>
        <v>1.2307692307692308</v>
      </c>
      <c r="E3" s="7"/>
      <c r="F3" s="7"/>
      <c r="G3" s="7"/>
      <c r="H3" s="7"/>
    </row>
    <row r="4" spans="1:9" ht="15.75" customHeight="1">
      <c r="A4" s="4">
        <v>3</v>
      </c>
      <c r="B4" s="17">
        <v>9.5</v>
      </c>
      <c r="C4" s="17">
        <v>6.5</v>
      </c>
      <c r="D4" s="6">
        <f t="shared" si="0"/>
        <v>1.4615384615384615</v>
      </c>
      <c r="E4" s="7"/>
      <c r="F4" s="7"/>
      <c r="G4" s="7"/>
      <c r="H4" s="7"/>
    </row>
    <row r="5" spans="1:9" ht="15.75" customHeight="1">
      <c r="A5" s="4">
        <v>4</v>
      </c>
      <c r="B5" s="17">
        <v>8.5</v>
      </c>
      <c r="C5" s="17">
        <v>7</v>
      </c>
      <c r="D5" s="6">
        <f t="shared" si="0"/>
        <v>1.2142857142857142</v>
      </c>
      <c r="E5" s="7"/>
      <c r="F5" s="7"/>
      <c r="G5" s="7"/>
      <c r="H5" s="7"/>
    </row>
    <row r="6" spans="1:9" ht="15.75" customHeight="1">
      <c r="A6" s="4">
        <v>5</v>
      </c>
      <c r="B6" s="17">
        <v>8.5</v>
      </c>
      <c r="C6" s="17">
        <v>6.5</v>
      </c>
      <c r="D6" s="6">
        <f t="shared" si="0"/>
        <v>1.3076923076923077</v>
      </c>
      <c r="E6" s="7"/>
      <c r="F6" s="7"/>
      <c r="G6" s="7"/>
      <c r="H6" s="7"/>
    </row>
    <row r="7" spans="1:9" ht="15.75" customHeight="1">
      <c r="A7" s="4">
        <v>6</v>
      </c>
      <c r="B7" s="17">
        <v>8</v>
      </c>
      <c r="C7" s="17">
        <v>6</v>
      </c>
      <c r="D7" s="6">
        <f t="shared" si="0"/>
        <v>1.3333333333333333</v>
      </c>
      <c r="E7" s="7"/>
      <c r="F7" s="7"/>
      <c r="G7" s="7"/>
      <c r="H7" s="7"/>
    </row>
    <row r="8" spans="1:9" ht="15.75" customHeight="1">
      <c r="A8" s="4">
        <v>7</v>
      </c>
      <c r="B8" s="17">
        <v>9.5</v>
      </c>
      <c r="C8" s="17">
        <v>7</v>
      </c>
      <c r="D8" s="6">
        <f t="shared" si="0"/>
        <v>1.3571428571428572</v>
      </c>
      <c r="E8" s="7"/>
      <c r="F8" s="7"/>
      <c r="G8" s="7"/>
      <c r="H8" s="7"/>
    </row>
    <row r="9" spans="1:9" ht="15.75" customHeight="1">
      <c r="A9" s="4">
        <v>8</v>
      </c>
      <c r="B9" s="17">
        <v>10</v>
      </c>
      <c r="C9" s="17">
        <v>8</v>
      </c>
      <c r="D9" s="6">
        <f t="shared" si="0"/>
        <v>1.25</v>
      </c>
      <c r="E9" s="7"/>
      <c r="F9" s="7"/>
      <c r="G9" s="7"/>
      <c r="H9" s="7"/>
    </row>
    <row r="10" spans="1:9" ht="15.75" customHeight="1">
      <c r="A10" s="4">
        <v>9</v>
      </c>
      <c r="B10" s="17">
        <v>8</v>
      </c>
      <c r="C10" s="17">
        <v>6</v>
      </c>
      <c r="D10" s="6">
        <f t="shared" si="0"/>
        <v>1.3333333333333333</v>
      </c>
      <c r="E10" s="7"/>
      <c r="F10" s="7"/>
      <c r="G10" s="7"/>
      <c r="H10" s="7"/>
    </row>
    <row r="11" spans="1:9" ht="15.75" customHeight="1">
      <c r="A11" s="4">
        <v>10</v>
      </c>
      <c r="B11" s="17">
        <v>9</v>
      </c>
      <c r="C11" s="17">
        <v>6.5</v>
      </c>
      <c r="D11" s="6">
        <f t="shared" si="0"/>
        <v>1.3846153846153846</v>
      </c>
      <c r="E11" s="7"/>
      <c r="F11" s="7"/>
      <c r="G11" s="7"/>
      <c r="H11" s="7"/>
    </row>
    <row r="12" spans="1:9" ht="15.75" customHeight="1">
      <c r="A12" s="8">
        <v>11</v>
      </c>
      <c r="B12" s="17">
        <v>8.5</v>
      </c>
      <c r="C12" s="17">
        <v>7.5</v>
      </c>
      <c r="D12" s="6">
        <f t="shared" si="0"/>
        <v>1.1333333333333333</v>
      </c>
      <c r="E12" s="7"/>
      <c r="F12" s="7"/>
      <c r="G12" s="7"/>
      <c r="H12" s="7"/>
    </row>
    <row r="13" spans="1:9" ht="15.75" customHeight="1">
      <c r="A13" s="8">
        <v>12</v>
      </c>
      <c r="B13" s="17">
        <v>8</v>
      </c>
      <c r="C13" s="17">
        <v>6.5</v>
      </c>
      <c r="D13" s="6">
        <f t="shared" si="0"/>
        <v>1.2307692307692308</v>
      </c>
      <c r="E13" s="7"/>
      <c r="F13" s="7"/>
      <c r="G13" s="7"/>
      <c r="H13" s="7"/>
    </row>
    <row r="14" spans="1:9" ht="15.75" customHeight="1">
      <c r="A14" s="8">
        <v>13</v>
      </c>
      <c r="B14" s="17">
        <v>8.5</v>
      </c>
      <c r="C14" s="17">
        <v>7</v>
      </c>
      <c r="D14" s="6">
        <f t="shared" si="0"/>
        <v>1.2142857142857142</v>
      </c>
      <c r="E14" s="7"/>
      <c r="F14" s="7"/>
      <c r="G14" s="7"/>
      <c r="H14" s="7"/>
    </row>
    <row r="15" spans="1:9" ht="15.75" customHeight="1">
      <c r="A15" s="8">
        <v>14</v>
      </c>
      <c r="B15" s="17">
        <v>8.5</v>
      </c>
      <c r="C15" s="17">
        <v>7</v>
      </c>
      <c r="D15" s="6">
        <f t="shared" si="0"/>
        <v>1.2142857142857142</v>
      </c>
      <c r="E15" s="7"/>
      <c r="F15" s="7"/>
      <c r="G15" s="7"/>
      <c r="H15" s="7"/>
    </row>
    <row r="16" spans="1:9" ht="15.75" customHeight="1">
      <c r="A16" s="8">
        <v>15</v>
      </c>
      <c r="B16" s="17">
        <v>8</v>
      </c>
      <c r="C16" s="17">
        <v>6.5</v>
      </c>
      <c r="D16" s="6">
        <f t="shared" si="0"/>
        <v>1.2307692307692308</v>
      </c>
      <c r="E16" s="7"/>
      <c r="F16" s="7"/>
      <c r="G16" s="7"/>
      <c r="H16" s="7"/>
    </row>
    <row r="17" spans="1:8" ht="15.75" customHeight="1">
      <c r="A17" s="8">
        <v>16</v>
      </c>
      <c r="B17" s="17">
        <v>9</v>
      </c>
      <c r="C17" s="17">
        <v>7</v>
      </c>
      <c r="D17" s="6">
        <f t="shared" si="0"/>
        <v>1.2857142857142858</v>
      </c>
      <c r="E17" s="7"/>
      <c r="F17" s="7"/>
      <c r="G17" s="7"/>
      <c r="H17" s="7"/>
    </row>
    <row r="18" spans="1:8" ht="15.75" customHeight="1">
      <c r="A18" s="8">
        <v>17</v>
      </c>
      <c r="B18" s="17">
        <v>9.5</v>
      </c>
      <c r="C18" s="17">
        <v>6.5</v>
      </c>
      <c r="D18" s="6">
        <f t="shared" si="0"/>
        <v>1.4615384615384615</v>
      </c>
      <c r="E18" s="7"/>
      <c r="F18" s="7"/>
      <c r="G18" s="7"/>
      <c r="H18" s="7"/>
    </row>
    <row r="19" spans="1:8" ht="15.75" customHeight="1">
      <c r="A19" s="8">
        <v>18</v>
      </c>
      <c r="B19" s="17">
        <v>8</v>
      </c>
      <c r="C19" s="17">
        <v>7.5</v>
      </c>
      <c r="D19" s="6">
        <f t="shared" si="0"/>
        <v>1.0666666666666667</v>
      </c>
      <c r="E19" s="7"/>
      <c r="F19" s="7"/>
      <c r="G19" s="7"/>
      <c r="H19" s="7"/>
    </row>
    <row r="20" spans="1:8" ht="15.75" customHeight="1">
      <c r="A20" s="8">
        <v>19</v>
      </c>
      <c r="B20" s="17">
        <v>10</v>
      </c>
      <c r="C20" s="17">
        <v>8</v>
      </c>
      <c r="D20" s="6">
        <f t="shared" si="0"/>
        <v>1.25</v>
      </c>
      <c r="E20" s="7"/>
      <c r="F20" s="7"/>
      <c r="G20" s="7"/>
      <c r="H20" s="7"/>
    </row>
    <row r="21" spans="1:8" ht="15.75" customHeight="1">
      <c r="A21" s="8">
        <v>20</v>
      </c>
      <c r="B21" s="17">
        <v>8.5</v>
      </c>
      <c r="C21" s="17">
        <v>6</v>
      </c>
      <c r="D21" s="6">
        <f t="shared" si="0"/>
        <v>1.4166666666666667</v>
      </c>
      <c r="E21" s="7"/>
      <c r="F21" s="7"/>
      <c r="G21" s="7"/>
      <c r="H21" s="7"/>
    </row>
    <row r="22" spans="1:8" ht="15.75" customHeight="1">
      <c r="A22" s="8">
        <v>21</v>
      </c>
      <c r="B22" s="17">
        <v>8.5</v>
      </c>
      <c r="C22" s="17">
        <v>7.5</v>
      </c>
      <c r="D22" s="6">
        <f t="shared" si="0"/>
        <v>1.1333333333333333</v>
      </c>
      <c r="E22" s="7"/>
      <c r="F22" s="7"/>
      <c r="G22" s="7"/>
      <c r="H22" s="7"/>
    </row>
    <row r="23" spans="1:8" ht="15.75" customHeight="1">
      <c r="A23" s="8">
        <v>22</v>
      </c>
      <c r="B23" s="17">
        <v>8.5</v>
      </c>
      <c r="C23" s="17">
        <v>6.5</v>
      </c>
      <c r="D23" s="6">
        <f t="shared" si="0"/>
        <v>1.3076923076923077</v>
      </c>
      <c r="E23" s="7"/>
      <c r="F23" s="7"/>
      <c r="G23" s="7"/>
      <c r="H23" s="7"/>
    </row>
    <row r="24" spans="1:8" ht="15.75" customHeight="1">
      <c r="A24" s="8">
        <v>23</v>
      </c>
      <c r="B24" s="17">
        <v>9</v>
      </c>
      <c r="C24" s="17">
        <v>7.5</v>
      </c>
      <c r="D24" s="6">
        <f t="shared" si="0"/>
        <v>1.2</v>
      </c>
      <c r="E24" s="7"/>
      <c r="F24" s="7"/>
      <c r="G24" s="7"/>
      <c r="H24" s="7"/>
    </row>
    <row r="25" spans="1:8" ht="15.75" customHeight="1">
      <c r="A25" s="8">
        <v>24</v>
      </c>
      <c r="B25" s="17">
        <v>9</v>
      </c>
      <c r="C25" s="17">
        <v>6.5</v>
      </c>
      <c r="D25" s="6">
        <f t="shared" si="0"/>
        <v>1.3846153846153846</v>
      </c>
      <c r="E25" s="7"/>
      <c r="F25" s="7"/>
      <c r="G25" s="7"/>
      <c r="H25" s="7"/>
    </row>
    <row r="26" spans="1:8" ht="15.75" customHeight="1">
      <c r="A26" s="8">
        <v>25</v>
      </c>
      <c r="B26" s="17">
        <v>10</v>
      </c>
      <c r="C26" s="17">
        <v>7</v>
      </c>
      <c r="D26" s="6">
        <f t="shared" si="0"/>
        <v>1.4285714285714286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8.7799999999999994</v>
      </c>
      <c r="C27" s="5">
        <f t="shared" si="1"/>
        <v>6.86</v>
      </c>
      <c r="D27" s="9">
        <f t="shared" si="1"/>
        <v>1.2846666666666664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8</v>
      </c>
      <c r="C28" s="5">
        <f t="shared" si="2"/>
        <v>6</v>
      </c>
      <c r="D28" s="9">
        <f t="shared" si="2"/>
        <v>1.0666666666666667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10</v>
      </c>
      <c r="C29" s="5">
        <f t="shared" si="3"/>
        <v>8</v>
      </c>
      <c r="D29" s="9">
        <f t="shared" si="3"/>
        <v>1.4615384615384615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43.5</v>
      </c>
      <c r="C33" s="17">
        <v>10.5</v>
      </c>
      <c r="D33" s="13">
        <v>4</v>
      </c>
      <c r="E33" s="17" t="s">
        <v>34</v>
      </c>
      <c r="F33" s="7"/>
      <c r="G33" s="7"/>
      <c r="H33" s="7"/>
    </row>
    <row r="34" spans="1:8" ht="15.75" customHeight="1">
      <c r="A34" s="4">
        <v>2</v>
      </c>
      <c r="B34" s="17">
        <v>49</v>
      </c>
      <c r="C34" s="17">
        <v>9.5</v>
      </c>
      <c r="D34" s="13">
        <v>4</v>
      </c>
      <c r="E34" s="17">
        <v>6</v>
      </c>
      <c r="F34" s="7"/>
      <c r="G34" s="7"/>
      <c r="H34" s="7"/>
    </row>
    <row r="35" spans="1:8" ht="15.75" customHeight="1">
      <c r="A35" s="4">
        <v>3</v>
      </c>
      <c r="B35" s="17">
        <v>46</v>
      </c>
      <c r="C35" s="17">
        <v>10</v>
      </c>
      <c r="D35" s="13">
        <v>4</v>
      </c>
      <c r="E35" s="14">
        <v>5</v>
      </c>
      <c r="F35" s="7"/>
      <c r="G35" s="7"/>
      <c r="H35" s="7"/>
    </row>
    <row r="36" spans="1:8" ht="15.75" customHeight="1">
      <c r="A36" s="4">
        <v>4</v>
      </c>
      <c r="B36" s="17">
        <v>40</v>
      </c>
      <c r="C36" s="17">
        <v>9.5</v>
      </c>
      <c r="D36" s="13">
        <v>4</v>
      </c>
      <c r="E36" s="17" t="s">
        <v>90</v>
      </c>
      <c r="F36" s="7"/>
      <c r="G36" s="7"/>
      <c r="H36" s="7"/>
    </row>
    <row r="37" spans="1:8" ht="15.75" customHeight="1">
      <c r="A37" s="4">
        <v>5</v>
      </c>
      <c r="B37" s="17">
        <v>47.5</v>
      </c>
      <c r="C37" s="17">
        <v>12.5</v>
      </c>
      <c r="D37" s="13">
        <v>4</v>
      </c>
      <c r="E37" s="17">
        <v>5.5</v>
      </c>
      <c r="F37" s="7"/>
      <c r="G37" s="7"/>
      <c r="H37" s="7"/>
    </row>
    <row r="38" spans="1:8" ht="15.75" customHeight="1">
      <c r="A38" s="4">
        <v>6</v>
      </c>
      <c r="B38" s="17">
        <v>39.5</v>
      </c>
      <c r="C38" s="17">
        <v>10.5</v>
      </c>
      <c r="D38" s="13">
        <v>4</v>
      </c>
      <c r="E38" s="17">
        <v>5.5</v>
      </c>
      <c r="F38" s="7"/>
      <c r="G38" s="7"/>
      <c r="H38" s="7"/>
    </row>
    <row r="39" spans="1:8" ht="15.75" customHeight="1">
      <c r="A39" s="4">
        <v>7</v>
      </c>
      <c r="B39" s="17">
        <v>48.5</v>
      </c>
      <c r="C39" s="17">
        <v>11</v>
      </c>
      <c r="D39" s="13">
        <v>4</v>
      </c>
      <c r="E39" s="17">
        <v>5.5</v>
      </c>
      <c r="F39" s="7"/>
      <c r="G39" s="7"/>
      <c r="H39" s="7"/>
    </row>
    <row r="40" spans="1:8" ht="15.75" customHeight="1">
      <c r="A40" s="4">
        <v>8</v>
      </c>
      <c r="B40" s="17">
        <v>42</v>
      </c>
      <c r="C40" s="17">
        <v>11</v>
      </c>
      <c r="D40" s="13">
        <v>4</v>
      </c>
      <c r="E40" s="17" t="s">
        <v>34</v>
      </c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>
        <v>4</v>
      </c>
      <c r="F48" s="7"/>
      <c r="G48" s="7"/>
      <c r="H48" s="7"/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44.5</v>
      </c>
      <c r="C58" s="5">
        <f t="shared" si="4"/>
        <v>10.5625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39.5</v>
      </c>
      <c r="C59" s="5">
        <f t="shared" si="5"/>
        <v>9.5</v>
      </c>
      <c r="D59" s="11">
        <f t="shared" si="5"/>
        <v>4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49</v>
      </c>
      <c r="C60" s="5">
        <f t="shared" si="6"/>
        <v>12.5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  <c r="F62" s="1" t="s">
        <v>91</v>
      </c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39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R1006"/>
  <sheetViews>
    <sheetView workbookViewId="0"/>
  </sheetViews>
  <sheetFormatPr baseColWidth="10" defaultColWidth="12.6640625" defaultRowHeight="15.75" customHeight="1"/>
  <sheetData>
    <row r="1" spans="1:1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  <c r="N1" s="2" t="s">
        <v>3</v>
      </c>
      <c r="O1" s="2" t="s">
        <v>4</v>
      </c>
      <c r="P1" s="3" t="s">
        <v>5</v>
      </c>
    </row>
    <row r="2" spans="1:18" ht="15.75" customHeight="1">
      <c r="A2" s="4">
        <v>1</v>
      </c>
      <c r="B2" s="17">
        <v>7</v>
      </c>
      <c r="C2" s="17">
        <v>7</v>
      </c>
      <c r="D2" s="6">
        <f t="shared" ref="D2:D26" si="0">B2/C2</f>
        <v>1</v>
      </c>
      <c r="E2" s="14" t="s">
        <v>29</v>
      </c>
      <c r="F2" s="14" t="s">
        <v>30</v>
      </c>
      <c r="G2" s="7"/>
      <c r="H2" s="14"/>
      <c r="I2" s="1" t="s">
        <v>92</v>
      </c>
      <c r="N2" s="1">
        <v>7</v>
      </c>
      <c r="O2" s="1">
        <v>7</v>
      </c>
      <c r="P2" s="6">
        <f t="shared" ref="P2:P4" si="1">N2/O2</f>
        <v>1</v>
      </c>
      <c r="Q2" s="1" t="s">
        <v>93</v>
      </c>
      <c r="R2" s="1" t="s">
        <v>94</v>
      </c>
    </row>
    <row r="3" spans="1:18" ht="15.75" customHeight="1">
      <c r="A3" s="4">
        <v>2</v>
      </c>
      <c r="B3" s="17">
        <v>7.5</v>
      </c>
      <c r="C3" s="17">
        <v>8</v>
      </c>
      <c r="D3" s="6">
        <f t="shared" si="0"/>
        <v>0.9375</v>
      </c>
      <c r="E3" s="7"/>
      <c r="F3" s="7"/>
      <c r="G3" s="7"/>
      <c r="H3" s="7"/>
      <c r="I3" s="1" t="s">
        <v>92</v>
      </c>
      <c r="N3" s="1">
        <v>6.5</v>
      </c>
      <c r="O3" s="1">
        <v>6.5</v>
      </c>
      <c r="P3" s="6">
        <f t="shared" si="1"/>
        <v>1</v>
      </c>
      <c r="Q3" s="1" t="s">
        <v>93</v>
      </c>
      <c r="R3" s="1" t="s">
        <v>95</v>
      </c>
    </row>
    <row r="4" spans="1:18" ht="15.75" customHeight="1">
      <c r="A4" s="4">
        <v>3</v>
      </c>
      <c r="B4" s="17">
        <v>8.5</v>
      </c>
      <c r="C4" s="17">
        <v>8</v>
      </c>
      <c r="D4" s="6">
        <f t="shared" si="0"/>
        <v>1.0625</v>
      </c>
      <c r="E4" s="7"/>
      <c r="F4" s="7"/>
      <c r="G4" s="7"/>
      <c r="H4" s="7"/>
      <c r="I4" s="1" t="s">
        <v>92</v>
      </c>
      <c r="N4" s="1">
        <v>7</v>
      </c>
      <c r="O4" s="1">
        <v>7</v>
      </c>
      <c r="P4" s="6">
        <f t="shared" si="1"/>
        <v>1</v>
      </c>
      <c r="Q4" s="1" t="s">
        <v>93</v>
      </c>
      <c r="R4" s="1" t="s">
        <v>96</v>
      </c>
    </row>
    <row r="5" spans="1:18" ht="15.75" customHeight="1">
      <c r="A5" s="4">
        <v>4</v>
      </c>
      <c r="B5" s="17">
        <v>8</v>
      </c>
      <c r="C5" s="17">
        <v>8</v>
      </c>
      <c r="D5" s="6">
        <f t="shared" si="0"/>
        <v>1</v>
      </c>
      <c r="E5" s="7"/>
      <c r="F5" s="7"/>
      <c r="G5" s="7"/>
      <c r="H5" s="7"/>
      <c r="I5" s="1" t="s">
        <v>92</v>
      </c>
      <c r="P5" s="6"/>
    </row>
    <row r="6" spans="1:18" ht="15.75" customHeight="1">
      <c r="A6" s="4">
        <v>5</v>
      </c>
      <c r="B6" s="17">
        <v>7.5</v>
      </c>
      <c r="C6" s="17">
        <v>7.5</v>
      </c>
      <c r="D6" s="6">
        <f t="shared" si="0"/>
        <v>1</v>
      </c>
      <c r="E6" s="7"/>
      <c r="F6" s="7"/>
      <c r="G6" s="7"/>
      <c r="H6" s="7"/>
      <c r="I6" s="1" t="s">
        <v>92</v>
      </c>
      <c r="P6" s="6"/>
    </row>
    <row r="7" spans="1:18" ht="15.75" customHeight="1">
      <c r="A7" s="4">
        <v>6</v>
      </c>
      <c r="B7" s="17">
        <v>7.5</v>
      </c>
      <c r="C7" s="17">
        <v>7.5</v>
      </c>
      <c r="D7" s="6">
        <f t="shared" si="0"/>
        <v>1</v>
      </c>
      <c r="E7" s="7"/>
      <c r="F7" s="7"/>
      <c r="G7" s="7"/>
      <c r="H7" s="7"/>
      <c r="I7" s="1" t="s">
        <v>92</v>
      </c>
    </row>
    <row r="8" spans="1:18" ht="15.75" customHeight="1">
      <c r="A8" s="4">
        <v>7</v>
      </c>
      <c r="B8" s="17">
        <v>7.5</v>
      </c>
      <c r="C8" s="17">
        <v>7</v>
      </c>
      <c r="D8" s="6">
        <f t="shared" si="0"/>
        <v>1.0714285714285714</v>
      </c>
      <c r="E8" s="7"/>
      <c r="F8" s="7"/>
      <c r="G8" s="7"/>
      <c r="H8" s="7"/>
      <c r="I8" s="1" t="s">
        <v>92</v>
      </c>
    </row>
    <row r="9" spans="1:18" ht="15.75" customHeight="1">
      <c r="A9" s="4">
        <v>8</v>
      </c>
      <c r="B9" s="17">
        <v>8</v>
      </c>
      <c r="C9" s="17">
        <v>7.5</v>
      </c>
      <c r="D9" s="6">
        <f t="shared" si="0"/>
        <v>1.0666666666666667</v>
      </c>
      <c r="E9" s="7"/>
      <c r="F9" s="7"/>
      <c r="G9" s="7"/>
      <c r="H9" s="7"/>
      <c r="I9" s="1" t="s">
        <v>92</v>
      </c>
    </row>
    <row r="10" spans="1:18" ht="15.75" customHeight="1">
      <c r="A10" s="4">
        <v>9</v>
      </c>
      <c r="B10" s="17">
        <v>9</v>
      </c>
      <c r="C10" s="17">
        <v>8</v>
      </c>
      <c r="D10" s="6">
        <f t="shared" si="0"/>
        <v>1.125</v>
      </c>
      <c r="E10" s="7"/>
      <c r="F10" s="7"/>
      <c r="G10" s="7"/>
      <c r="H10" s="7"/>
      <c r="I10" s="1" t="s">
        <v>97</v>
      </c>
    </row>
    <row r="11" spans="1:18" ht="15.75" customHeight="1">
      <c r="A11" s="4">
        <v>10</v>
      </c>
      <c r="B11" s="17">
        <v>8</v>
      </c>
      <c r="C11" s="17">
        <v>7.5</v>
      </c>
      <c r="D11" s="6">
        <f t="shared" si="0"/>
        <v>1.0666666666666667</v>
      </c>
      <c r="E11" s="7"/>
      <c r="F11" s="7"/>
      <c r="G11" s="7"/>
      <c r="H11" s="7"/>
      <c r="I11" s="1" t="s">
        <v>97</v>
      </c>
    </row>
    <row r="12" spans="1:18" ht="15.75" customHeight="1">
      <c r="A12" s="8">
        <v>11</v>
      </c>
      <c r="B12" s="17">
        <v>8</v>
      </c>
      <c r="C12" s="17">
        <v>7.5</v>
      </c>
      <c r="D12" s="6">
        <f t="shared" si="0"/>
        <v>1.0666666666666667</v>
      </c>
      <c r="E12" s="7"/>
      <c r="F12" s="7"/>
      <c r="G12" s="7"/>
      <c r="H12" s="7"/>
      <c r="I12" s="1" t="s">
        <v>97</v>
      </c>
    </row>
    <row r="13" spans="1:18" ht="15.75" customHeight="1">
      <c r="A13" s="8">
        <v>12</v>
      </c>
      <c r="B13" s="17">
        <v>8.5</v>
      </c>
      <c r="C13" s="17">
        <v>8.5</v>
      </c>
      <c r="D13" s="6">
        <f t="shared" si="0"/>
        <v>1</v>
      </c>
      <c r="E13" s="7"/>
      <c r="F13" s="7"/>
      <c r="G13" s="7"/>
      <c r="H13" s="7"/>
      <c r="I13" s="1" t="s">
        <v>97</v>
      </c>
    </row>
    <row r="14" spans="1:18" ht="15.75" customHeight="1">
      <c r="A14" s="8">
        <v>13</v>
      </c>
      <c r="B14" s="17">
        <v>8</v>
      </c>
      <c r="C14" s="17">
        <v>8</v>
      </c>
      <c r="D14" s="6">
        <f t="shared" si="0"/>
        <v>1</v>
      </c>
      <c r="E14" s="7"/>
      <c r="F14" s="7"/>
      <c r="G14" s="7"/>
      <c r="H14" s="7"/>
      <c r="I14" s="1" t="s">
        <v>97</v>
      </c>
    </row>
    <row r="15" spans="1:18" ht="15.75" customHeight="1">
      <c r="A15" s="8">
        <v>14</v>
      </c>
      <c r="B15" s="17">
        <v>7.5</v>
      </c>
      <c r="C15" s="17">
        <v>7</v>
      </c>
      <c r="D15" s="6">
        <f t="shared" si="0"/>
        <v>1.0714285714285714</v>
      </c>
      <c r="E15" s="7"/>
      <c r="F15" s="7"/>
      <c r="G15" s="7"/>
      <c r="H15" s="7"/>
      <c r="I15" s="1" t="s">
        <v>97</v>
      </c>
    </row>
    <row r="16" spans="1:18" ht="15.75" customHeight="1">
      <c r="A16" s="8">
        <v>15</v>
      </c>
      <c r="B16" s="17">
        <v>8.5</v>
      </c>
      <c r="C16" s="17">
        <v>8</v>
      </c>
      <c r="D16" s="6">
        <f t="shared" si="0"/>
        <v>1.0625</v>
      </c>
      <c r="E16" s="7"/>
      <c r="F16" s="7"/>
      <c r="G16" s="7"/>
      <c r="H16" s="7"/>
      <c r="I16" s="1" t="s">
        <v>97</v>
      </c>
    </row>
    <row r="17" spans="1:10" ht="15.75" customHeight="1">
      <c r="A17" s="8">
        <v>16</v>
      </c>
      <c r="B17" s="17">
        <v>8.5</v>
      </c>
      <c r="C17" s="17">
        <v>8.5</v>
      </c>
      <c r="D17" s="6">
        <f t="shared" si="0"/>
        <v>1</v>
      </c>
      <c r="E17" s="7"/>
      <c r="F17" s="7"/>
      <c r="G17" s="7"/>
      <c r="H17" s="7"/>
      <c r="I17" s="1" t="s">
        <v>98</v>
      </c>
      <c r="J17" s="1" t="s">
        <v>99</v>
      </c>
    </row>
    <row r="18" spans="1:10" ht="15.75" customHeight="1">
      <c r="A18" s="8">
        <v>17</v>
      </c>
      <c r="B18" s="17">
        <v>8</v>
      </c>
      <c r="C18" s="17">
        <v>7.5</v>
      </c>
      <c r="D18" s="6">
        <f t="shared" si="0"/>
        <v>1.0666666666666667</v>
      </c>
      <c r="E18" s="7"/>
      <c r="F18" s="7"/>
      <c r="G18" s="7"/>
      <c r="H18" s="7"/>
      <c r="I18" s="1" t="s">
        <v>98</v>
      </c>
    </row>
    <row r="19" spans="1:10" ht="15.75" customHeight="1">
      <c r="A19" s="8">
        <v>18</v>
      </c>
      <c r="B19" s="17">
        <v>6.5</v>
      </c>
      <c r="C19" s="17">
        <v>6.5</v>
      </c>
      <c r="D19" s="6">
        <f t="shared" si="0"/>
        <v>1</v>
      </c>
      <c r="E19" s="7"/>
      <c r="F19" s="7"/>
      <c r="G19" s="7"/>
      <c r="H19" s="7"/>
      <c r="I19" s="1" t="s">
        <v>98</v>
      </c>
    </row>
    <row r="20" spans="1:10" ht="15.75" customHeight="1">
      <c r="A20" s="8">
        <v>19</v>
      </c>
      <c r="B20" s="17">
        <v>7.5</v>
      </c>
      <c r="C20" s="17">
        <v>7.5</v>
      </c>
      <c r="D20" s="6">
        <f t="shared" si="0"/>
        <v>1</v>
      </c>
      <c r="E20" s="7"/>
      <c r="F20" s="7"/>
      <c r="G20" s="7"/>
      <c r="H20" s="7"/>
      <c r="I20" s="1" t="s">
        <v>98</v>
      </c>
    </row>
    <row r="21" spans="1:10" ht="15.75" customHeight="1">
      <c r="A21" s="8">
        <v>20</v>
      </c>
      <c r="B21" s="17">
        <v>7.5</v>
      </c>
      <c r="C21" s="17">
        <v>7</v>
      </c>
      <c r="D21" s="6">
        <f t="shared" si="0"/>
        <v>1.0714285714285714</v>
      </c>
      <c r="E21" s="7"/>
      <c r="F21" s="7"/>
      <c r="G21" s="7"/>
      <c r="H21" s="7"/>
      <c r="I21" s="1" t="s">
        <v>98</v>
      </c>
    </row>
    <row r="22" spans="1:10" ht="15.75" customHeight="1">
      <c r="A22" s="8">
        <v>21</v>
      </c>
      <c r="B22" s="17">
        <v>7.5</v>
      </c>
      <c r="C22" s="17">
        <v>7.5</v>
      </c>
      <c r="D22" s="6">
        <f t="shared" si="0"/>
        <v>1</v>
      </c>
      <c r="E22" s="7"/>
      <c r="F22" s="7"/>
      <c r="G22" s="7"/>
      <c r="H22" s="7"/>
      <c r="I22" s="1" t="s">
        <v>98</v>
      </c>
    </row>
    <row r="23" spans="1:10" ht="15.75" customHeight="1">
      <c r="A23" s="8">
        <v>22</v>
      </c>
      <c r="B23" s="17">
        <v>8</v>
      </c>
      <c r="C23" s="17">
        <v>8</v>
      </c>
      <c r="D23" s="6">
        <f t="shared" si="0"/>
        <v>1</v>
      </c>
      <c r="E23" s="7"/>
      <c r="F23" s="7"/>
      <c r="G23" s="7"/>
      <c r="H23" s="7"/>
      <c r="I23" s="1" t="s">
        <v>98</v>
      </c>
    </row>
    <row r="24" spans="1:10" ht="15.75" customHeight="1">
      <c r="A24" s="8">
        <v>23</v>
      </c>
      <c r="B24" s="17">
        <v>8</v>
      </c>
      <c r="C24" s="17">
        <v>8</v>
      </c>
      <c r="D24" s="6">
        <f t="shared" si="0"/>
        <v>1</v>
      </c>
      <c r="E24" s="7"/>
      <c r="F24" s="7"/>
      <c r="G24" s="7"/>
      <c r="H24" s="7"/>
      <c r="I24" s="1" t="s">
        <v>98</v>
      </c>
    </row>
    <row r="25" spans="1:10" ht="15.75" customHeight="1">
      <c r="A25" s="8">
        <v>24</v>
      </c>
      <c r="B25" s="17">
        <v>8</v>
      </c>
      <c r="C25" s="17">
        <v>8</v>
      </c>
      <c r="D25" s="6">
        <f t="shared" si="0"/>
        <v>1</v>
      </c>
      <c r="E25" s="7"/>
      <c r="F25" s="7"/>
      <c r="G25" s="7"/>
      <c r="H25" s="7"/>
      <c r="I25" s="1" t="s">
        <v>98</v>
      </c>
    </row>
    <row r="26" spans="1:10" ht="15.75" customHeight="1">
      <c r="A26" s="8">
        <v>25</v>
      </c>
      <c r="B26" s="17">
        <v>8.5</v>
      </c>
      <c r="C26" s="17">
        <v>8</v>
      </c>
      <c r="D26" s="6">
        <f t="shared" si="0"/>
        <v>1.0625</v>
      </c>
      <c r="E26" s="7"/>
      <c r="F26" s="7"/>
      <c r="G26" s="7"/>
      <c r="H26" s="7"/>
      <c r="I26" s="1" t="s">
        <v>98</v>
      </c>
    </row>
    <row r="27" spans="1:10" ht="15.75" customHeight="1">
      <c r="A27" s="4" t="s">
        <v>10</v>
      </c>
      <c r="B27" s="5">
        <f t="shared" ref="B27:D27" si="2">AVERAGE(B2:B26)</f>
        <v>7.88</v>
      </c>
      <c r="C27" s="5">
        <f t="shared" si="2"/>
        <v>7.66</v>
      </c>
      <c r="D27" s="9">
        <f t="shared" si="2"/>
        <v>1.0292380952380953</v>
      </c>
      <c r="E27" s="7"/>
      <c r="F27" s="7"/>
      <c r="G27" s="7"/>
      <c r="H27" s="7"/>
    </row>
    <row r="28" spans="1:10" ht="15.75" customHeight="1">
      <c r="A28" s="4" t="s">
        <v>11</v>
      </c>
      <c r="B28" s="5">
        <f t="shared" ref="B28:D28" si="3">MIN(B3:B26)</f>
        <v>6.5</v>
      </c>
      <c r="C28" s="5">
        <f t="shared" si="3"/>
        <v>6.5</v>
      </c>
      <c r="D28" s="9">
        <f t="shared" si="3"/>
        <v>0.9375</v>
      </c>
      <c r="E28" s="7"/>
      <c r="F28" s="7"/>
      <c r="G28" s="7"/>
      <c r="H28" s="7"/>
    </row>
    <row r="29" spans="1:10" ht="15.75" customHeight="1">
      <c r="A29" s="4" t="s">
        <v>12</v>
      </c>
      <c r="B29" s="5">
        <f t="shared" ref="B29:D29" si="4">MAX(B4:B26)</f>
        <v>9</v>
      </c>
      <c r="C29" s="5">
        <f t="shared" si="4"/>
        <v>8.5</v>
      </c>
      <c r="D29" s="9">
        <f t="shared" si="4"/>
        <v>1.125</v>
      </c>
      <c r="E29" s="7"/>
      <c r="F29" s="7"/>
      <c r="G29" s="7"/>
      <c r="H29" s="7"/>
    </row>
    <row r="30" spans="1:10" ht="15.75" customHeight="1">
      <c r="A30" s="2"/>
      <c r="B30" s="7"/>
      <c r="C30" s="7"/>
      <c r="D30" s="10"/>
      <c r="E30" s="7"/>
      <c r="F30" s="7"/>
      <c r="G30" s="7"/>
      <c r="H30" s="7"/>
    </row>
    <row r="31" spans="1:10" ht="15.75" customHeight="1">
      <c r="A31" s="2"/>
      <c r="B31" s="7"/>
      <c r="C31" s="7"/>
      <c r="D31" s="10"/>
      <c r="E31" s="7"/>
      <c r="F31" s="7"/>
      <c r="G31" s="7"/>
      <c r="H31" s="7"/>
    </row>
    <row r="32" spans="1:10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 t="s">
        <v>100</v>
      </c>
      <c r="C33" s="17">
        <v>11</v>
      </c>
      <c r="D33" s="13" t="s">
        <v>101</v>
      </c>
      <c r="E33" s="17"/>
      <c r="F33" s="14"/>
      <c r="G33" s="14"/>
      <c r="H33" s="14" t="s">
        <v>102</v>
      </c>
    </row>
    <row r="34" spans="1:8" ht="15.75" customHeight="1">
      <c r="A34" s="4">
        <v>2</v>
      </c>
      <c r="B34" s="17"/>
      <c r="C34" s="17"/>
      <c r="D34" s="13"/>
      <c r="E34" s="17"/>
      <c r="F34" s="7"/>
      <c r="G34" s="7"/>
      <c r="H34" s="7"/>
    </row>
    <row r="35" spans="1:8" ht="15.75" customHeight="1">
      <c r="A35" s="4">
        <v>3</v>
      </c>
      <c r="B35" s="17"/>
      <c r="C35" s="17"/>
      <c r="D35" s="13"/>
      <c r="E35" s="14"/>
      <c r="F35" s="7"/>
      <c r="G35" s="7"/>
      <c r="H35" s="7"/>
    </row>
    <row r="36" spans="1:8" ht="15.75" customHeight="1">
      <c r="A36" s="4">
        <v>4</v>
      </c>
      <c r="B36" s="17"/>
      <c r="C36" s="17"/>
      <c r="D36" s="13"/>
      <c r="E36" s="17"/>
      <c r="F36" s="7"/>
      <c r="G36" s="7"/>
      <c r="H36" s="7"/>
    </row>
    <row r="37" spans="1:8" ht="15.75" customHeight="1">
      <c r="A37" s="4">
        <v>5</v>
      </c>
      <c r="B37" s="17"/>
      <c r="C37" s="17"/>
      <c r="D37" s="13"/>
      <c r="E37" s="17"/>
      <c r="F37" s="7"/>
      <c r="G37" s="7"/>
      <c r="H37" s="7"/>
    </row>
    <row r="38" spans="1:8" ht="15.75" customHeight="1">
      <c r="A38" s="4">
        <v>6</v>
      </c>
      <c r="B38" s="17"/>
      <c r="C38" s="17"/>
      <c r="D38" s="13"/>
      <c r="E38" s="17"/>
      <c r="F38" s="7"/>
      <c r="G38" s="7"/>
      <c r="H38" s="7"/>
    </row>
    <row r="39" spans="1:8" ht="15.75" customHeight="1">
      <c r="A39" s="4">
        <v>7</v>
      </c>
      <c r="B39" s="17"/>
      <c r="C39" s="17"/>
      <c r="D39" s="13"/>
      <c r="E39" s="17"/>
      <c r="F39" s="7"/>
      <c r="G39" s="7"/>
      <c r="H39" s="7"/>
    </row>
    <row r="40" spans="1:8" ht="15.75" customHeight="1">
      <c r="A40" s="4">
        <v>8</v>
      </c>
      <c r="B40" s="17"/>
      <c r="C40" s="17"/>
      <c r="D40" s="13"/>
      <c r="E40" s="17"/>
      <c r="F40" s="7"/>
      <c r="G40" s="7"/>
      <c r="H40" s="7"/>
    </row>
    <row r="41" spans="1:8" ht="15.75" customHeight="1">
      <c r="A41" s="4">
        <v>9</v>
      </c>
      <c r="B41" s="17"/>
      <c r="C41" s="17"/>
      <c r="D41" s="13"/>
      <c r="E41" s="17"/>
      <c r="F41" s="7"/>
      <c r="G41" s="7"/>
      <c r="H41" s="7"/>
    </row>
    <row r="42" spans="1:8" ht="15.75" customHeight="1">
      <c r="A42" s="4">
        <v>10</v>
      </c>
      <c r="B42" s="17"/>
      <c r="C42" s="17"/>
      <c r="D42" s="13"/>
      <c r="E42" s="17"/>
      <c r="F42" s="7"/>
      <c r="G42" s="14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 t="e">
        <f t="shared" ref="B58:C58" si="5">AVERAGE(B33:B57)</f>
        <v>#DIV/0!</v>
      </c>
      <c r="C58" s="5">
        <f t="shared" si="5"/>
        <v>11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6">MIN(B33:B57)</f>
        <v>0</v>
      </c>
      <c r="C59" s="5">
        <f t="shared" si="6"/>
        <v>11</v>
      </c>
      <c r="D59" s="11">
        <f t="shared" si="6"/>
        <v>0</v>
      </c>
      <c r="E59" s="7"/>
      <c r="F59" s="7"/>
      <c r="G59" s="7"/>
      <c r="H59" s="7"/>
    </row>
    <row r="60" spans="1:8" ht="14">
      <c r="A60" s="4" t="s">
        <v>12</v>
      </c>
      <c r="B60" s="5" t="e">
        <f t="shared" ref="B60:D60" si="7">MAX(B34:B58)</f>
        <v>#DIV/0!</v>
      </c>
      <c r="C60" s="5">
        <f t="shared" si="7"/>
        <v>11</v>
      </c>
      <c r="D60" s="11">
        <f t="shared" si="7"/>
        <v>0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14"/>
      <c r="D63" s="18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14"/>
      <c r="D65" s="18"/>
      <c r="E65" s="14"/>
      <c r="F65" s="7"/>
      <c r="G65" s="7"/>
      <c r="H65" s="7"/>
    </row>
    <row r="66" spans="1:8" ht="14">
      <c r="A66" s="2"/>
      <c r="B66" s="7"/>
      <c r="C66" s="14"/>
      <c r="D66" s="18"/>
      <c r="E66" s="7"/>
      <c r="F66" s="7"/>
      <c r="G66" s="7"/>
      <c r="H66" s="7"/>
    </row>
    <row r="67" spans="1:8" ht="14">
      <c r="A67" s="2"/>
      <c r="B67" s="7"/>
      <c r="C67" s="14"/>
      <c r="D67" s="18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I1006"/>
  <sheetViews>
    <sheetView workbookViewId="0"/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11</v>
      </c>
      <c r="C2" s="17">
        <v>9</v>
      </c>
      <c r="D2" s="6">
        <f t="shared" ref="D2:D26" si="0">B2/C2</f>
        <v>1.2222222222222223</v>
      </c>
      <c r="E2" s="14" t="s">
        <v>29</v>
      </c>
      <c r="F2" s="14" t="s">
        <v>35</v>
      </c>
      <c r="G2" s="7"/>
      <c r="H2" s="14" t="s">
        <v>103</v>
      </c>
      <c r="I2" s="1" t="s">
        <v>104</v>
      </c>
    </row>
    <row r="3" spans="1:9" ht="15.75" customHeight="1">
      <c r="A3" s="4">
        <v>2</v>
      </c>
      <c r="B3" s="17">
        <v>11.5</v>
      </c>
      <c r="C3" s="17">
        <v>9</v>
      </c>
      <c r="D3" s="6">
        <f t="shared" si="0"/>
        <v>1.2777777777777777</v>
      </c>
      <c r="E3" s="7"/>
      <c r="F3" s="7"/>
      <c r="G3" s="7"/>
      <c r="H3" s="7"/>
    </row>
    <row r="4" spans="1:9" ht="15.75" customHeight="1">
      <c r="A4" s="4">
        <v>3</v>
      </c>
      <c r="B4" s="17">
        <v>11.5</v>
      </c>
      <c r="C4" s="17">
        <v>9</v>
      </c>
      <c r="D4" s="6">
        <f t="shared" si="0"/>
        <v>1.2777777777777777</v>
      </c>
      <c r="E4" s="7"/>
      <c r="F4" s="7"/>
      <c r="G4" s="7"/>
      <c r="H4" s="7"/>
    </row>
    <row r="5" spans="1:9" ht="15.75" customHeight="1">
      <c r="A5" s="4">
        <v>4</v>
      </c>
      <c r="B5" s="17">
        <v>10</v>
      </c>
      <c r="C5" s="17">
        <v>9</v>
      </c>
      <c r="D5" s="6">
        <f t="shared" si="0"/>
        <v>1.1111111111111112</v>
      </c>
      <c r="E5" s="7"/>
      <c r="F5" s="7"/>
      <c r="G5" s="7"/>
      <c r="H5" s="7"/>
    </row>
    <row r="6" spans="1:9" ht="15.75" customHeight="1">
      <c r="A6" s="4">
        <v>5</v>
      </c>
      <c r="B6" s="17">
        <v>10.5</v>
      </c>
      <c r="C6" s="17">
        <v>8.5</v>
      </c>
      <c r="D6" s="6">
        <f t="shared" si="0"/>
        <v>1.2352941176470589</v>
      </c>
      <c r="E6" s="7"/>
      <c r="F6" s="7"/>
      <c r="G6" s="7"/>
      <c r="H6" s="7"/>
    </row>
    <row r="7" spans="1:9" ht="15.75" customHeight="1">
      <c r="A7" s="4">
        <v>6</v>
      </c>
      <c r="B7" s="17">
        <v>9.5</v>
      </c>
      <c r="C7" s="17">
        <v>8</v>
      </c>
      <c r="D7" s="6">
        <f t="shared" si="0"/>
        <v>1.1875</v>
      </c>
      <c r="E7" s="7"/>
      <c r="F7" s="7"/>
      <c r="G7" s="7"/>
      <c r="H7" s="7"/>
    </row>
    <row r="8" spans="1:9" ht="15.75" customHeight="1">
      <c r="A8" s="4">
        <v>7</v>
      </c>
      <c r="B8" s="17">
        <v>10.5</v>
      </c>
      <c r="C8" s="17">
        <v>8.5</v>
      </c>
      <c r="D8" s="6">
        <f t="shared" si="0"/>
        <v>1.2352941176470589</v>
      </c>
      <c r="E8" s="7"/>
      <c r="F8" s="7"/>
      <c r="G8" s="7"/>
      <c r="H8" s="7"/>
    </row>
    <row r="9" spans="1:9" ht="15.75" customHeight="1">
      <c r="A9" s="4">
        <v>8</v>
      </c>
      <c r="B9" s="17">
        <v>10</v>
      </c>
      <c r="C9" s="17">
        <v>9.5</v>
      </c>
      <c r="D9" s="6">
        <f t="shared" si="0"/>
        <v>1.0526315789473684</v>
      </c>
      <c r="E9" s="7"/>
      <c r="F9" s="7"/>
      <c r="G9" s="7"/>
      <c r="H9" s="7"/>
    </row>
    <row r="10" spans="1:9" ht="15.75" customHeight="1">
      <c r="A10" s="4">
        <v>9</v>
      </c>
      <c r="B10" s="17">
        <v>11.5</v>
      </c>
      <c r="C10" s="17">
        <v>9</v>
      </c>
      <c r="D10" s="6">
        <f t="shared" si="0"/>
        <v>1.2777777777777777</v>
      </c>
      <c r="E10" s="7"/>
      <c r="F10" s="7"/>
      <c r="G10" s="7"/>
      <c r="H10" s="7"/>
    </row>
    <row r="11" spans="1:9" ht="15.75" customHeight="1">
      <c r="A11" s="4">
        <v>10</v>
      </c>
      <c r="B11" s="17">
        <v>11</v>
      </c>
      <c r="C11" s="17">
        <v>9.5</v>
      </c>
      <c r="D11" s="6">
        <f t="shared" si="0"/>
        <v>1.1578947368421053</v>
      </c>
      <c r="E11" s="7"/>
      <c r="F11" s="7"/>
      <c r="G11" s="7"/>
      <c r="H11" s="7"/>
    </row>
    <row r="12" spans="1:9" ht="15.75" customHeight="1">
      <c r="A12" s="8">
        <v>11</v>
      </c>
      <c r="B12" s="17">
        <v>12</v>
      </c>
      <c r="C12" s="17">
        <v>9.5</v>
      </c>
      <c r="D12" s="6">
        <f t="shared" si="0"/>
        <v>1.263157894736842</v>
      </c>
      <c r="E12" s="7"/>
      <c r="F12" s="7"/>
      <c r="G12" s="7"/>
      <c r="H12" s="7"/>
    </row>
    <row r="13" spans="1:9" ht="15.75" customHeight="1">
      <c r="A13" s="8">
        <v>12</v>
      </c>
      <c r="B13" s="17">
        <v>10.5</v>
      </c>
      <c r="C13" s="17">
        <v>8.5</v>
      </c>
      <c r="D13" s="6">
        <f t="shared" si="0"/>
        <v>1.2352941176470589</v>
      </c>
      <c r="E13" s="7"/>
      <c r="F13" s="7"/>
      <c r="G13" s="7"/>
      <c r="H13" s="7"/>
    </row>
    <row r="14" spans="1:9" ht="15.75" customHeight="1">
      <c r="A14" s="8">
        <v>13</v>
      </c>
      <c r="B14" s="17">
        <v>10.5</v>
      </c>
      <c r="C14" s="17">
        <v>9.5</v>
      </c>
      <c r="D14" s="6">
        <f t="shared" si="0"/>
        <v>1.1052631578947369</v>
      </c>
      <c r="E14" s="7"/>
      <c r="F14" s="7"/>
      <c r="G14" s="7"/>
      <c r="H14" s="7"/>
    </row>
    <row r="15" spans="1:9" ht="15.75" customHeight="1">
      <c r="A15" s="8">
        <v>14</v>
      </c>
      <c r="B15" s="17">
        <v>10</v>
      </c>
      <c r="C15" s="17">
        <v>8</v>
      </c>
      <c r="D15" s="6">
        <f t="shared" si="0"/>
        <v>1.25</v>
      </c>
      <c r="E15" s="7"/>
      <c r="F15" s="7"/>
      <c r="G15" s="7"/>
      <c r="H15" s="7"/>
    </row>
    <row r="16" spans="1:9" ht="15.75" customHeight="1">
      <c r="A16" s="8">
        <v>15</v>
      </c>
      <c r="B16" s="17">
        <v>10.5</v>
      </c>
      <c r="C16" s="17">
        <v>8</v>
      </c>
      <c r="D16" s="6">
        <f t="shared" si="0"/>
        <v>1.3125</v>
      </c>
      <c r="E16" s="7"/>
      <c r="F16" s="7"/>
      <c r="G16" s="7"/>
      <c r="H16" s="7"/>
    </row>
    <row r="17" spans="1:8" ht="15.75" customHeight="1">
      <c r="A17" s="8">
        <v>16</v>
      </c>
      <c r="B17" s="17">
        <v>10.5</v>
      </c>
      <c r="C17" s="17">
        <v>7.5</v>
      </c>
      <c r="D17" s="6">
        <f t="shared" si="0"/>
        <v>1.4</v>
      </c>
      <c r="E17" s="7"/>
      <c r="F17" s="7"/>
      <c r="G17" s="7"/>
      <c r="H17" s="7"/>
    </row>
    <row r="18" spans="1:8" ht="15.75" customHeight="1">
      <c r="A18" s="8">
        <v>17</v>
      </c>
      <c r="B18" s="17">
        <v>10</v>
      </c>
      <c r="C18" s="17">
        <v>8</v>
      </c>
      <c r="D18" s="6">
        <f t="shared" si="0"/>
        <v>1.25</v>
      </c>
      <c r="E18" s="7"/>
      <c r="F18" s="7"/>
      <c r="G18" s="7"/>
      <c r="H18" s="7"/>
    </row>
    <row r="19" spans="1:8" ht="15.75" customHeight="1">
      <c r="A19" s="8">
        <v>18</v>
      </c>
      <c r="B19" s="17">
        <v>10</v>
      </c>
      <c r="C19" s="17">
        <v>8</v>
      </c>
      <c r="D19" s="6">
        <f t="shared" si="0"/>
        <v>1.25</v>
      </c>
      <c r="E19" s="7"/>
      <c r="F19" s="7"/>
      <c r="G19" s="7"/>
      <c r="H19" s="7"/>
    </row>
    <row r="20" spans="1:8" ht="15.75" customHeight="1">
      <c r="A20" s="8">
        <v>19</v>
      </c>
      <c r="B20" s="17">
        <v>9.5</v>
      </c>
      <c r="C20" s="17">
        <v>8.5</v>
      </c>
      <c r="D20" s="6">
        <f t="shared" si="0"/>
        <v>1.1176470588235294</v>
      </c>
      <c r="E20" s="7"/>
      <c r="F20" s="7"/>
      <c r="G20" s="7"/>
      <c r="H20" s="7"/>
    </row>
    <row r="21" spans="1:8" ht="15.75" customHeight="1">
      <c r="A21" s="8">
        <v>20</v>
      </c>
      <c r="B21" s="17">
        <v>10</v>
      </c>
      <c r="C21" s="17">
        <v>8</v>
      </c>
      <c r="D21" s="6">
        <f t="shared" si="0"/>
        <v>1.25</v>
      </c>
      <c r="E21" s="7"/>
      <c r="F21" s="7"/>
      <c r="G21" s="7"/>
      <c r="H21" s="7"/>
    </row>
    <row r="22" spans="1:8" ht="15.75" customHeight="1">
      <c r="A22" s="8">
        <v>21</v>
      </c>
      <c r="B22" s="17">
        <v>11</v>
      </c>
      <c r="C22" s="17">
        <v>8</v>
      </c>
      <c r="D22" s="6">
        <f t="shared" si="0"/>
        <v>1.375</v>
      </c>
      <c r="E22" s="7"/>
      <c r="F22" s="7"/>
      <c r="G22" s="7"/>
      <c r="H22" s="7"/>
    </row>
    <row r="23" spans="1:8" ht="15.75" customHeight="1">
      <c r="A23" s="8">
        <v>22</v>
      </c>
      <c r="B23" s="5"/>
      <c r="C23" s="5"/>
      <c r="D23" s="6" t="e">
        <f t="shared" si="0"/>
        <v>#DIV/0!</v>
      </c>
      <c r="E23" s="7"/>
      <c r="F23" s="7"/>
      <c r="G23" s="7"/>
      <c r="H23" s="7"/>
    </row>
    <row r="24" spans="1:8" ht="15.75" customHeight="1">
      <c r="A24" s="8">
        <v>23</v>
      </c>
      <c r="B24" s="5"/>
      <c r="C24" s="5"/>
      <c r="D24" s="6" t="e">
        <f t="shared" si="0"/>
        <v>#DIV/0!</v>
      </c>
      <c r="E24" s="7"/>
      <c r="F24" s="7"/>
      <c r="G24" s="7"/>
      <c r="H24" s="7"/>
    </row>
    <row r="25" spans="1:8" ht="15.75" customHeight="1">
      <c r="A25" s="8">
        <v>24</v>
      </c>
      <c r="B25" s="5"/>
      <c r="C25" s="5"/>
      <c r="D25" s="6" t="e">
        <f t="shared" si="0"/>
        <v>#DIV/0!</v>
      </c>
      <c r="E25" s="7"/>
      <c r="F25" s="7"/>
      <c r="G25" s="7"/>
      <c r="H25" s="7"/>
    </row>
    <row r="26" spans="1:8" ht="15.75" customHeight="1">
      <c r="A26" s="8">
        <v>25</v>
      </c>
      <c r="B26" s="5"/>
      <c r="C26" s="5"/>
      <c r="D26" s="6" t="e">
        <f t="shared" si="0"/>
        <v>#DIV/0!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10.547619047619047</v>
      </c>
      <c r="C27" s="5">
        <f t="shared" si="1"/>
        <v>8.5952380952380949</v>
      </c>
      <c r="D27" s="9" t="e">
        <f t="shared" si="1"/>
        <v>#DIV/0!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9.5</v>
      </c>
      <c r="C28" s="5">
        <f t="shared" si="2"/>
        <v>7.5</v>
      </c>
      <c r="D28" s="9" t="e">
        <f t="shared" si="2"/>
        <v>#DIV/0!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12</v>
      </c>
      <c r="C29" s="5">
        <f t="shared" si="3"/>
        <v>9.5</v>
      </c>
      <c r="D29" s="9" t="e">
        <f t="shared" si="3"/>
        <v>#DIV/0!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52</v>
      </c>
      <c r="C33" s="17">
        <v>11</v>
      </c>
      <c r="D33" s="13">
        <v>4</v>
      </c>
      <c r="E33" s="17">
        <v>5.5</v>
      </c>
      <c r="F33" s="14" t="s">
        <v>41</v>
      </c>
      <c r="G33" s="14" t="s">
        <v>105</v>
      </c>
      <c r="H33" s="7"/>
    </row>
    <row r="34" spans="1:8" ht="15.75" customHeight="1">
      <c r="A34" s="4">
        <v>2</v>
      </c>
      <c r="B34" s="17">
        <v>38.5</v>
      </c>
      <c r="C34" s="17">
        <v>11</v>
      </c>
      <c r="D34" s="13">
        <v>4</v>
      </c>
      <c r="E34" s="17">
        <v>3</v>
      </c>
      <c r="F34" s="7"/>
      <c r="G34" s="7"/>
      <c r="H34" s="7"/>
    </row>
    <row r="35" spans="1:8" ht="15.75" customHeight="1">
      <c r="A35" s="4">
        <v>3</v>
      </c>
      <c r="B35" s="17">
        <v>47</v>
      </c>
      <c r="C35" s="17">
        <v>11.5</v>
      </c>
      <c r="D35" s="13">
        <v>4</v>
      </c>
      <c r="E35" s="14">
        <v>6.5</v>
      </c>
      <c r="F35" s="7"/>
      <c r="G35" s="7"/>
      <c r="H35" s="7"/>
    </row>
    <row r="36" spans="1:8" ht="15.75" customHeight="1">
      <c r="A36" s="4">
        <v>4</v>
      </c>
      <c r="B36" s="17">
        <v>53.5</v>
      </c>
      <c r="C36" s="17">
        <v>10</v>
      </c>
      <c r="D36" s="13">
        <v>4</v>
      </c>
      <c r="E36" s="17">
        <v>6</v>
      </c>
      <c r="F36" s="7"/>
      <c r="G36" s="7"/>
      <c r="H36" s="7"/>
    </row>
    <row r="37" spans="1:8" ht="15.75" customHeight="1">
      <c r="A37" s="4">
        <v>5</v>
      </c>
      <c r="B37" s="17">
        <v>42</v>
      </c>
      <c r="C37" s="17">
        <v>11</v>
      </c>
      <c r="D37" s="13">
        <v>4</v>
      </c>
      <c r="E37" s="17">
        <v>5.5</v>
      </c>
      <c r="F37" s="7"/>
      <c r="G37" s="7"/>
      <c r="H37" s="7"/>
    </row>
    <row r="38" spans="1:8" ht="15.75" customHeight="1">
      <c r="A38" s="4">
        <v>6</v>
      </c>
      <c r="B38" s="17">
        <v>43.5</v>
      </c>
      <c r="C38" s="17">
        <v>11</v>
      </c>
      <c r="D38" s="13">
        <v>4</v>
      </c>
      <c r="E38" s="17">
        <v>4</v>
      </c>
      <c r="F38" s="7"/>
      <c r="G38" s="7"/>
      <c r="H38" s="7"/>
    </row>
    <row r="39" spans="1:8" ht="15.75" customHeight="1">
      <c r="A39" s="4">
        <v>7</v>
      </c>
      <c r="B39" s="17">
        <v>49</v>
      </c>
      <c r="C39" s="17">
        <v>10</v>
      </c>
      <c r="D39" s="13">
        <v>4</v>
      </c>
      <c r="E39" s="17">
        <v>6.5</v>
      </c>
      <c r="F39" s="7"/>
      <c r="G39" s="7"/>
      <c r="H39" s="7"/>
    </row>
    <row r="40" spans="1:8" ht="15.75" customHeight="1">
      <c r="A40" s="4">
        <v>8</v>
      </c>
      <c r="B40" s="17">
        <v>51.5</v>
      </c>
      <c r="C40" s="17">
        <v>12.5</v>
      </c>
      <c r="D40" s="13">
        <v>4</v>
      </c>
      <c r="E40" s="17">
        <v>4.5</v>
      </c>
      <c r="F40" s="7"/>
      <c r="G40" s="7"/>
      <c r="H40" s="7"/>
    </row>
    <row r="41" spans="1:8" ht="15.75" customHeight="1">
      <c r="A41" s="4">
        <v>9</v>
      </c>
      <c r="B41" s="17">
        <v>52</v>
      </c>
      <c r="C41" s="17">
        <v>12</v>
      </c>
      <c r="D41" s="13">
        <v>4</v>
      </c>
      <c r="E41" s="17">
        <v>4</v>
      </c>
      <c r="F41" s="7"/>
      <c r="G41" s="7"/>
      <c r="H41" s="7"/>
    </row>
    <row r="42" spans="1:8" ht="15.75" customHeight="1">
      <c r="A42" s="4">
        <v>10</v>
      </c>
      <c r="B42" s="17">
        <v>52</v>
      </c>
      <c r="C42" s="17">
        <v>11</v>
      </c>
      <c r="D42" s="13">
        <v>4</v>
      </c>
      <c r="E42" s="17">
        <v>7.5</v>
      </c>
      <c r="F42" s="7"/>
      <c r="G42" s="14" t="s">
        <v>106</v>
      </c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48.1</v>
      </c>
      <c r="C58" s="5">
        <f t="shared" si="4"/>
        <v>11.1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38.5</v>
      </c>
      <c r="C59" s="5">
        <f t="shared" si="5"/>
        <v>10</v>
      </c>
      <c r="D59" s="11">
        <f t="shared" si="5"/>
        <v>4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53.5</v>
      </c>
      <c r="C60" s="5">
        <f t="shared" si="6"/>
        <v>12.5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14">
        <v>80</v>
      </c>
      <c r="D63" s="18">
        <v>20</v>
      </c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14">
        <v>47</v>
      </c>
      <c r="D65" s="18">
        <v>15</v>
      </c>
      <c r="E65" s="14" t="s">
        <v>107</v>
      </c>
      <c r="F65" s="7"/>
      <c r="G65" s="7"/>
      <c r="H65" s="7"/>
    </row>
    <row r="66" spans="1:8" ht="14">
      <c r="A66" s="2"/>
      <c r="B66" s="7"/>
      <c r="C66" s="14">
        <v>40</v>
      </c>
      <c r="D66" s="18">
        <v>24</v>
      </c>
      <c r="E66" s="7"/>
      <c r="F66" s="7"/>
      <c r="G66" s="7"/>
      <c r="H66" s="7"/>
    </row>
    <row r="67" spans="1:8" ht="14">
      <c r="A67" s="2"/>
      <c r="B67" s="7"/>
      <c r="C67" s="14">
        <v>52</v>
      </c>
      <c r="D67" s="18">
        <v>25</v>
      </c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 t="s">
        <v>108</v>
      </c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35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H1006"/>
  <sheetViews>
    <sheetView workbookViewId="0"/>
  </sheetViews>
  <sheetFormatPr baseColWidth="10" defaultColWidth="12.6640625" defaultRowHeight="15.75" customHeight="1"/>
  <sheetData>
    <row r="1" spans="1:8" ht="15.75" customHeight="1">
      <c r="A1" s="2"/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11</v>
      </c>
      <c r="C2" s="17">
        <v>8</v>
      </c>
      <c r="D2" s="6">
        <f t="shared" ref="D2:D26" si="0">B2/C2</f>
        <v>1.375</v>
      </c>
      <c r="E2" s="7"/>
      <c r="F2" s="7"/>
      <c r="G2" s="7"/>
      <c r="H2" s="7"/>
    </row>
    <row r="3" spans="1:8" ht="15.75" customHeight="1">
      <c r="A3" s="4">
        <v>2</v>
      </c>
      <c r="B3" s="17">
        <v>11.5</v>
      </c>
      <c r="C3" s="17">
        <v>9</v>
      </c>
      <c r="D3" s="6">
        <f t="shared" si="0"/>
        <v>1.2777777777777777</v>
      </c>
      <c r="E3" s="7"/>
      <c r="F3" s="7"/>
      <c r="G3" s="7"/>
      <c r="H3" s="7"/>
    </row>
    <row r="4" spans="1:8" ht="15.75" customHeight="1">
      <c r="A4" s="4">
        <v>3</v>
      </c>
      <c r="B4" s="17">
        <v>11.5</v>
      </c>
      <c r="C4" s="17">
        <v>8.5</v>
      </c>
      <c r="D4" s="6">
        <f t="shared" si="0"/>
        <v>1.3529411764705883</v>
      </c>
      <c r="E4" s="7"/>
      <c r="F4" s="7"/>
      <c r="G4" s="7"/>
      <c r="H4" s="7"/>
    </row>
    <row r="5" spans="1:8" ht="15.75" customHeight="1">
      <c r="A5" s="4">
        <v>4</v>
      </c>
      <c r="B5" s="17">
        <v>12.5</v>
      </c>
      <c r="C5" s="17">
        <v>8</v>
      </c>
      <c r="D5" s="6">
        <f t="shared" si="0"/>
        <v>1.5625</v>
      </c>
      <c r="E5" s="7"/>
      <c r="F5" s="7"/>
      <c r="G5" s="7"/>
      <c r="H5" s="7"/>
    </row>
    <row r="6" spans="1:8" ht="15.75" customHeight="1">
      <c r="A6" s="4">
        <v>5</v>
      </c>
      <c r="B6" s="17">
        <v>11</v>
      </c>
      <c r="C6" s="17">
        <v>9</v>
      </c>
      <c r="D6" s="6">
        <f t="shared" si="0"/>
        <v>1.2222222222222223</v>
      </c>
      <c r="E6" s="7"/>
      <c r="F6" s="7"/>
      <c r="G6" s="7"/>
      <c r="H6" s="7"/>
    </row>
    <row r="7" spans="1:8" ht="15.75" customHeight="1">
      <c r="A7" s="4">
        <v>6</v>
      </c>
      <c r="B7" s="17">
        <v>12</v>
      </c>
      <c r="C7" s="17">
        <v>9</v>
      </c>
      <c r="D7" s="6">
        <f t="shared" si="0"/>
        <v>1.3333333333333333</v>
      </c>
      <c r="E7" s="7"/>
      <c r="F7" s="7"/>
      <c r="G7" s="7"/>
      <c r="H7" s="7"/>
    </row>
    <row r="8" spans="1:8" ht="15.75" customHeight="1">
      <c r="A8" s="4">
        <v>7</v>
      </c>
      <c r="B8" s="17">
        <v>13.5</v>
      </c>
      <c r="C8" s="17">
        <v>9.5</v>
      </c>
      <c r="D8" s="6">
        <f t="shared" si="0"/>
        <v>1.4210526315789473</v>
      </c>
      <c r="E8" s="7"/>
      <c r="F8" s="7"/>
      <c r="G8" s="7"/>
      <c r="H8" s="7"/>
    </row>
    <row r="9" spans="1:8" ht="15.75" customHeight="1">
      <c r="A9" s="4">
        <v>8</v>
      </c>
      <c r="B9" s="17">
        <v>12.5</v>
      </c>
      <c r="C9" s="17">
        <v>9.5</v>
      </c>
      <c r="D9" s="6">
        <f t="shared" si="0"/>
        <v>1.3157894736842106</v>
      </c>
      <c r="E9" s="7"/>
      <c r="F9" s="7"/>
      <c r="G9" s="7"/>
      <c r="H9" s="7"/>
    </row>
    <row r="10" spans="1:8" ht="15.75" customHeight="1">
      <c r="A10" s="4">
        <v>9</v>
      </c>
      <c r="B10" s="17">
        <v>12.5</v>
      </c>
      <c r="C10" s="17">
        <v>9</v>
      </c>
      <c r="D10" s="6">
        <f t="shared" si="0"/>
        <v>1.3888888888888888</v>
      </c>
      <c r="E10" s="7"/>
      <c r="F10" s="7"/>
      <c r="G10" s="7"/>
      <c r="H10" s="7"/>
    </row>
    <row r="11" spans="1:8" ht="15.75" customHeight="1">
      <c r="A11" s="4">
        <v>10</v>
      </c>
      <c r="B11" s="17">
        <v>13</v>
      </c>
      <c r="C11" s="17">
        <v>8.5</v>
      </c>
      <c r="D11" s="6">
        <f t="shared" si="0"/>
        <v>1.5294117647058822</v>
      </c>
      <c r="E11" s="7"/>
      <c r="F11" s="7"/>
      <c r="G11" s="7"/>
      <c r="H11" s="7"/>
    </row>
    <row r="12" spans="1:8" ht="15.75" customHeight="1">
      <c r="A12" s="8">
        <v>11</v>
      </c>
      <c r="B12" s="17">
        <v>13</v>
      </c>
      <c r="C12" s="17">
        <v>10</v>
      </c>
      <c r="D12" s="6">
        <f t="shared" si="0"/>
        <v>1.3</v>
      </c>
      <c r="E12" s="7"/>
      <c r="F12" s="7"/>
      <c r="G12" s="7"/>
      <c r="H12" s="7"/>
    </row>
    <row r="13" spans="1:8" ht="15.75" customHeight="1">
      <c r="A13" s="8">
        <v>12</v>
      </c>
      <c r="B13" s="5"/>
      <c r="C13" s="5"/>
      <c r="D13" s="6" t="e">
        <f t="shared" si="0"/>
        <v>#DIV/0!</v>
      </c>
      <c r="E13" s="7"/>
      <c r="F13" s="7"/>
      <c r="G13" s="7"/>
      <c r="H13" s="7"/>
    </row>
    <row r="14" spans="1:8" ht="15.75" customHeight="1">
      <c r="A14" s="8">
        <v>13</v>
      </c>
      <c r="B14" s="5"/>
      <c r="C14" s="5"/>
      <c r="D14" s="6" t="e">
        <f t="shared" si="0"/>
        <v>#DIV/0!</v>
      </c>
      <c r="E14" s="7"/>
      <c r="F14" s="7"/>
      <c r="G14" s="7"/>
      <c r="H14" s="7"/>
    </row>
    <row r="15" spans="1:8" ht="15.75" customHeight="1">
      <c r="A15" s="8">
        <v>14</v>
      </c>
      <c r="B15" s="5"/>
      <c r="C15" s="5"/>
      <c r="D15" s="6" t="e">
        <f t="shared" si="0"/>
        <v>#DIV/0!</v>
      </c>
      <c r="E15" s="7"/>
      <c r="F15" s="7"/>
      <c r="G15" s="7"/>
      <c r="H15" s="7"/>
    </row>
    <row r="16" spans="1:8" ht="15.75" customHeight="1">
      <c r="A16" s="8">
        <v>15</v>
      </c>
      <c r="B16" s="5"/>
      <c r="C16" s="5"/>
      <c r="D16" s="6" t="e">
        <f t="shared" si="0"/>
        <v>#DIV/0!</v>
      </c>
      <c r="E16" s="7"/>
      <c r="F16" s="7"/>
      <c r="G16" s="7"/>
      <c r="H16" s="7"/>
    </row>
    <row r="17" spans="1:8" ht="15.75" customHeight="1">
      <c r="A17" s="8">
        <v>16</v>
      </c>
      <c r="B17" s="5"/>
      <c r="C17" s="5"/>
      <c r="D17" s="6" t="e">
        <f t="shared" si="0"/>
        <v>#DIV/0!</v>
      </c>
      <c r="E17" s="7"/>
      <c r="F17" s="7"/>
      <c r="G17" s="7"/>
      <c r="H17" s="7"/>
    </row>
    <row r="18" spans="1:8" ht="15.75" customHeight="1">
      <c r="A18" s="8">
        <v>17</v>
      </c>
      <c r="B18" s="5"/>
      <c r="C18" s="5"/>
      <c r="D18" s="6" t="e">
        <f t="shared" si="0"/>
        <v>#DIV/0!</v>
      </c>
      <c r="E18" s="7"/>
      <c r="F18" s="7"/>
      <c r="G18" s="7"/>
      <c r="H18" s="7"/>
    </row>
    <row r="19" spans="1:8" ht="15.75" customHeight="1">
      <c r="A19" s="8">
        <v>18</v>
      </c>
      <c r="B19" s="5"/>
      <c r="C19" s="5"/>
      <c r="D19" s="6" t="e">
        <f t="shared" si="0"/>
        <v>#DIV/0!</v>
      </c>
      <c r="E19" s="7"/>
      <c r="F19" s="7"/>
      <c r="G19" s="7"/>
      <c r="H19" s="7"/>
    </row>
    <row r="20" spans="1:8" ht="15.75" customHeight="1">
      <c r="A20" s="8">
        <v>19</v>
      </c>
      <c r="B20" s="5"/>
      <c r="C20" s="5"/>
      <c r="D20" s="6" t="e">
        <f t="shared" si="0"/>
        <v>#DIV/0!</v>
      </c>
      <c r="E20" s="7"/>
      <c r="F20" s="7"/>
      <c r="G20" s="7"/>
      <c r="H20" s="7"/>
    </row>
    <row r="21" spans="1:8" ht="15.75" customHeight="1">
      <c r="A21" s="8">
        <v>20</v>
      </c>
      <c r="B21" s="5"/>
      <c r="C21" s="5"/>
      <c r="D21" s="6" t="e">
        <f t="shared" si="0"/>
        <v>#DIV/0!</v>
      </c>
      <c r="E21" s="7"/>
      <c r="F21" s="7"/>
      <c r="G21" s="7"/>
      <c r="H21" s="7"/>
    </row>
    <row r="22" spans="1:8" ht="15.75" customHeight="1">
      <c r="A22" s="8">
        <v>21</v>
      </c>
      <c r="B22" s="5"/>
      <c r="C22" s="5"/>
      <c r="D22" s="6" t="e">
        <f t="shared" si="0"/>
        <v>#DIV/0!</v>
      </c>
      <c r="E22" s="7"/>
      <c r="F22" s="7"/>
      <c r="G22" s="7"/>
      <c r="H22" s="7"/>
    </row>
    <row r="23" spans="1:8" ht="15.75" customHeight="1">
      <c r="A23" s="8">
        <v>22</v>
      </c>
      <c r="B23" s="5"/>
      <c r="C23" s="5"/>
      <c r="D23" s="6" t="e">
        <f t="shared" si="0"/>
        <v>#DIV/0!</v>
      </c>
      <c r="E23" s="7"/>
      <c r="F23" s="7"/>
      <c r="G23" s="7"/>
      <c r="H23" s="7"/>
    </row>
    <row r="24" spans="1:8" ht="15.75" customHeight="1">
      <c r="A24" s="8">
        <v>23</v>
      </c>
      <c r="B24" s="5"/>
      <c r="C24" s="5"/>
      <c r="D24" s="6" t="e">
        <f t="shared" si="0"/>
        <v>#DIV/0!</v>
      </c>
      <c r="E24" s="7"/>
      <c r="F24" s="7"/>
      <c r="G24" s="7"/>
      <c r="H24" s="7"/>
    </row>
    <row r="25" spans="1:8" ht="15.75" customHeight="1">
      <c r="A25" s="8">
        <v>24</v>
      </c>
      <c r="B25" s="5"/>
      <c r="C25" s="5"/>
      <c r="D25" s="6" t="e">
        <f t="shared" si="0"/>
        <v>#DIV/0!</v>
      </c>
      <c r="E25" s="7"/>
      <c r="F25" s="7"/>
      <c r="G25" s="7"/>
      <c r="H25" s="7"/>
    </row>
    <row r="26" spans="1:8" ht="15.75" customHeight="1">
      <c r="A26" s="8">
        <v>25</v>
      </c>
      <c r="B26" s="5"/>
      <c r="C26" s="5"/>
      <c r="D26" s="6" t="e">
        <f t="shared" si="0"/>
        <v>#DIV/0!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12.181818181818182</v>
      </c>
      <c r="C27" s="5">
        <f t="shared" si="1"/>
        <v>8.9090909090909083</v>
      </c>
      <c r="D27" s="9" t="e">
        <f t="shared" si="1"/>
        <v>#DIV/0!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11</v>
      </c>
      <c r="C28" s="5">
        <f t="shared" si="2"/>
        <v>8</v>
      </c>
      <c r="D28" s="9" t="e">
        <f t="shared" si="2"/>
        <v>#DIV/0!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13.5</v>
      </c>
      <c r="C29" s="5">
        <f t="shared" si="3"/>
        <v>10</v>
      </c>
      <c r="D29" s="9" t="e">
        <f t="shared" si="3"/>
        <v>#DIV/0!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49</v>
      </c>
      <c r="C33" s="17">
        <v>11</v>
      </c>
      <c r="D33" s="13">
        <v>2</v>
      </c>
      <c r="E33" s="17">
        <v>7.5</v>
      </c>
      <c r="F33" s="14" t="s">
        <v>41</v>
      </c>
      <c r="G33" s="14" t="s">
        <v>109</v>
      </c>
      <c r="H33" s="7"/>
    </row>
    <row r="34" spans="1:8" ht="15.75" customHeight="1">
      <c r="A34" s="4">
        <v>2</v>
      </c>
      <c r="B34" s="17">
        <v>44</v>
      </c>
      <c r="C34" s="17">
        <v>12</v>
      </c>
      <c r="D34" s="13">
        <v>2</v>
      </c>
      <c r="E34" s="17">
        <v>6</v>
      </c>
      <c r="F34" s="7"/>
      <c r="G34" s="14" t="s">
        <v>110</v>
      </c>
      <c r="H34" s="7"/>
    </row>
    <row r="35" spans="1:8" ht="15.75" customHeight="1">
      <c r="A35" s="4">
        <v>3</v>
      </c>
      <c r="B35" s="17">
        <v>45</v>
      </c>
      <c r="C35" s="17">
        <v>11</v>
      </c>
      <c r="D35" s="13">
        <v>2</v>
      </c>
      <c r="E35" s="14">
        <v>3.5</v>
      </c>
      <c r="F35" s="7"/>
      <c r="G35" s="7"/>
      <c r="H35" s="7"/>
    </row>
    <row r="36" spans="1:8" ht="15.75" customHeight="1">
      <c r="A36" s="4">
        <v>4</v>
      </c>
      <c r="B36" s="17">
        <v>42.5</v>
      </c>
      <c r="C36" s="17">
        <v>11.5</v>
      </c>
      <c r="D36" s="13">
        <v>2</v>
      </c>
      <c r="E36" s="17">
        <v>6</v>
      </c>
      <c r="F36" s="7"/>
      <c r="G36" s="7"/>
      <c r="H36" s="7"/>
    </row>
    <row r="37" spans="1:8" ht="15.75" customHeight="1">
      <c r="A37" s="4">
        <v>5</v>
      </c>
      <c r="B37" s="17">
        <v>43</v>
      </c>
      <c r="C37" s="17">
        <v>12</v>
      </c>
      <c r="D37" s="13">
        <v>2</v>
      </c>
      <c r="E37" s="17">
        <v>6</v>
      </c>
      <c r="F37" s="7"/>
      <c r="G37" s="14" t="s">
        <v>109</v>
      </c>
      <c r="H37" s="7"/>
    </row>
    <row r="38" spans="1:8" ht="15.75" customHeight="1">
      <c r="A38" s="4">
        <v>6</v>
      </c>
      <c r="B38" s="17">
        <v>34.5</v>
      </c>
      <c r="C38" s="17">
        <v>9.5</v>
      </c>
      <c r="D38" s="13">
        <v>2</v>
      </c>
      <c r="E38" s="17">
        <v>6</v>
      </c>
      <c r="F38" s="7"/>
      <c r="G38" s="7"/>
      <c r="H38" s="14" t="s">
        <v>111</v>
      </c>
    </row>
    <row r="39" spans="1:8" ht="15.75" customHeight="1">
      <c r="A39" s="4">
        <v>7</v>
      </c>
      <c r="B39" s="17">
        <v>45</v>
      </c>
      <c r="C39" s="17">
        <v>10</v>
      </c>
      <c r="D39" s="13">
        <v>1</v>
      </c>
      <c r="E39" s="17">
        <v>4.5</v>
      </c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43.285714285714285</v>
      </c>
      <c r="C58" s="5">
        <f t="shared" si="4"/>
        <v>11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34.5</v>
      </c>
      <c r="C59" s="5">
        <f t="shared" si="5"/>
        <v>9.5</v>
      </c>
      <c r="D59" s="11">
        <f t="shared" si="5"/>
        <v>1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45</v>
      </c>
      <c r="C60" s="5">
        <f t="shared" si="6"/>
        <v>12</v>
      </c>
      <c r="D60" s="11">
        <f t="shared" si="6"/>
        <v>2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14">
        <v>100</v>
      </c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 t="s">
        <v>72</v>
      </c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112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M1006"/>
  <sheetViews>
    <sheetView workbookViewId="0"/>
  </sheetViews>
  <sheetFormatPr baseColWidth="10" defaultColWidth="12.6640625" defaultRowHeight="15.75" customHeight="1"/>
  <sheetData>
    <row r="1" spans="1:12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12" ht="15.75" customHeight="1">
      <c r="A2" s="4">
        <v>1</v>
      </c>
      <c r="B2" s="17">
        <v>12</v>
      </c>
      <c r="C2" s="17">
        <v>12</v>
      </c>
      <c r="D2" s="6">
        <f t="shared" ref="D2:D26" si="0">B2/C2</f>
        <v>1</v>
      </c>
      <c r="E2" s="14" t="s">
        <v>29</v>
      </c>
      <c r="F2" s="14" t="s">
        <v>30</v>
      </c>
      <c r="G2" s="7"/>
      <c r="H2" s="7"/>
    </row>
    <row r="3" spans="1:12" ht="15.75" customHeight="1">
      <c r="A3" s="4">
        <v>2</v>
      </c>
      <c r="B3" s="17">
        <v>10.5</v>
      </c>
      <c r="C3" s="17">
        <v>11.5</v>
      </c>
      <c r="D3" s="6">
        <f t="shared" si="0"/>
        <v>0.91304347826086951</v>
      </c>
      <c r="E3" s="7"/>
      <c r="F3" s="7"/>
      <c r="G3" s="7"/>
      <c r="H3" s="7"/>
      <c r="I3" s="1">
        <v>9</v>
      </c>
      <c r="J3" s="1">
        <v>5</v>
      </c>
      <c r="K3" s="1" t="s">
        <v>113</v>
      </c>
      <c r="L3" s="1" t="s">
        <v>114</v>
      </c>
    </row>
    <row r="4" spans="1:12" ht="15.75" customHeight="1">
      <c r="A4" s="4">
        <v>3</v>
      </c>
      <c r="B4" s="17">
        <v>11.5</v>
      </c>
      <c r="C4" s="17">
        <v>11.5</v>
      </c>
      <c r="D4" s="6">
        <f t="shared" si="0"/>
        <v>1</v>
      </c>
      <c r="E4" s="7"/>
      <c r="F4" s="7"/>
      <c r="G4" s="7"/>
      <c r="H4" s="7"/>
    </row>
    <row r="5" spans="1:12" ht="15.75" customHeight="1">
      <c r="A5" s="4">
        <v>4</v>
      </c>
      <c r="B5" s="17">
        <v>12</v>
      </c>
      <c r="C5" s="17">
        <v>12.5</v>
      </c>
      <c r="D5" s="6">
        <f t="shared" si="0"/>
        <v>0.96</v>
      </c>
      <c r="E5" s="7"/>
      <c r="F5" s="7"/>
      <c r="G5" s="7"/>
      <c r="H5" s="7"/>
    </row>
    <row r="6" spans="1:12" ht="15.75" customHeight="1">
      <c r="A6" s="4">
        <v>5</v>
      </c>
      <c r="B6" s="17">
        <v>13.5</v>
      </c>
      <c r="C6" s="17">
        <v>14</v>
      </c>
      <c r="D6" s="6">
        <f t="shared" si="0"/>
        <v>0.9642857142857143</v>
      </c>
      <c r="E6" s="7"/>
      <c r="F6" s="7"/>
      <c r="G6" s="7"/>
      <c r="H6" s="7"/>
    </row>
    <row r="7" spans="1:12" ht="15.75" customHeight="1">
      <c r="A7" s="4">
        <v>6</v>
      </c>
      <c r="B7" s="17">
        <v>12</v>
      </c>
      <c r="C7" s="17">
        <v>11</v>
      </c>
      <c r="D7" s="6">
        <f t="shared" si="0"/>
        <v>1.0909090909090908</v>
      </c>
      <c r="E7" s="7"/>
      <c r="F7" s="7"/>
      <c r="G7" s="7"/>
      <c r="H7" s="7"/>
    </row>
    <row r="8" spans="1:12" ht="15.75" customHeight="1">
      <c r="A8" s="4">
        <v>7</v>
      </c>
      <c r="B8" s="17">
        <v>11</v>
      </c>
      <c r="C8" s="17">
        <v>12</v>
      </c>
      <c r="D8" s="6">
        <f t="shared" si="0"/>
        <v>0.91666666666666663</v>
      </c>
      <c r="E8" s="7"/>
      <c r="F8" s="7"/>
      <c r="G8" s="7"/>
      <c r="H8" s="7"/>
    </row>
    <row r="9" spans="1:12" ht="15.75" customHeight="1">
      <c r="A9" s="4">
        <v>8</v>
      </c>
      <c r="B9" s="17">
        <v>11.5</v>
      </c>
      <c r="C9" s="17">
        <v>11</v>
      </c>
      <c r="D9" s="6">
        <f t="shared" si="0"/>
        <v>1.0454545454545454</v>
      </c>
      <c r="E9" s="7"/>
      <c r="F9" s="7"/>
      <c r="G9" s="7"/>
      <c r="H9" s="7"/>
    </row>
    <row r="10" spans="1:12" ht="15.75" customHeight="1">
      <c r="A10" s="4">
        <v>9</v>
      </c>
      <c r="B10" s="17">
        <v>12.5</v>
      </c>
      <c r="C10" s="17">
        <v>12.5</v>
      </c>
      <c r="D10" s="6">
        <f t="shared" si="0"/>
        <v>1</v>
      </c>
      <c r="E10" s="7"/>
      <c r="F10" s="7"/>
      <c r="G10" s="7"/>
      <c r="H10" s="7"/>
    </row>
    <row r="11" spans="1:12" ht="15.75" customHeight="1">
      <c r="A11" s="4">
        <v>10</v>
      </c>
      <c r="B11" s="17">
        <v>10.5</v>
      </c>
      <c r="C11" s="17">
        <v>12</v>
      </c>
      <c r="D11" s="6">
        <f t="shared" si="0"/>
        <v>0.875</v>
      </c>
      <c r="E11" s="7"/>
      <c r="F11" s="7"/>
      <c r="G11" s="7"/>
      <c r="H11" s="7"/>
    </row>
    <row r="12" spans="1:12" ht="15.75" customHeight="1">
      <c r="A12" s="8">
        <v>11</v>
      </c>
      <c r="B12" s="17">
        <v>10.5</v>
      </c>
      <c r="C12" s="17">
        <v>10.5</v>
      </c>
      <c r="D12" s="6">
        <f t="shared" si="0"/>
        <v>1</v>
      </c>
      <c r="E12" s="7"/>
      <c r="F12" s="7"/>
      <c r="G12" s="7"/>
      <c r="H12" s="7"/>
    </row>
    <row r="13" spans="1:12" ht="15.75" customHeight="1">
      <c r="A13" s="8">
        <v>12</v>
      </c>
      <c r="B13" s="17">
        <v>12</v>
      </c>
      <c r="C13" s="17">
        <v>13</v>
      </c>
      <c r="D13" s="6">
        <f t="shared" si="0"/>
        <v>0.92307692307692313</v>
      </c>
      <c r="E13" s="7"/>
      <c r="F13" s="7"/>
      <c r="G13" s="7"/>
      <c r="H13" s="7"/>
    </row>
    <row r="14" spans="1:12" ht="15.75" customHeight="1">
      <c r="A14" s="8">
        <v>13</v>
      </c>
      <c r="B14" s="17">
        <v>9.5</v>
      </c>
      <c r="C14" s="17">
        <v>10</v>
      </c>
      <c r="D14" s="6">
        <f t="shared" si="0"/>
        <v>0.95</v>
      </c>
      <c r="E14" s="7"/>
      <c r="F14" s="7"/>
      <c r="G14" s="7"/>
      <c r="H14" s="7"/>
    </row>
    <row r="15" spans="1:12" ht="15.75" customHeight="1">
      <c r="A15" s="8">
        <v>14</v>
      </c>
      <c r="B15" s="17">
        <v>11.5</v>
      </c>
      <c r="C15" s="17">
        <v>11.5</v>
      </c>
      <c r="D15" s="6">
        <f t="shared" si="0"/>
        <v>1</v>
      </c>
      <c r="E15" s="7"/>
      <c r="F15" s="7"/>
      <c r="G15" s="7"/>
      <c r="H15" s="7"/>
    </row>
    <row r="16" spans="1:12" ht="15.75" customHeight="1">
      <c r="A16" s="8">
        <v>15</v>
      </c>
      <c r="B16" s="17">
        <v>11</v>
      </c>
      <c r="C16" s="17">
        <v>11.5</v>
      </c>
      <c r="D16" s="6">
        <f t="shared" si="0"/>
        <v>0.95652173913043481</v>
      </c>
      <c r="E16" s="7"/>
      <c r="F16" s="7"/>
      <c r="G16" s="7"/>
      <c r="H16" s="7"/>
    </row>
    <row r="17" spans="1:8" ht="15.75" customHeight="1">
      <c r="A17" s="8">
        <v>16</v>
      </c>
      <c r="B17" s="17">
        <v>12</v>
      </c>
      <c r="C17" s="17">
        <v>12</v>
      </c>
      <c r="D17" s="6">
        <f t="shared" si="0"/>
        <v>1</v>
      </c>
      <c r="E17" s="7"/>
      <c r="F17" s="7"/>
      <c r="G17" s="7"/>
      <c r="H17" s="7"/>
    </row>
    <row r="18" spans="1:8" ht="15.75" customHeight="1">
      <c r="A18" s="8">
        <v>17</v>
      </c>
      <c r="B18" s="17">
        <v>13</v>
      </c>
      <c r="C18" s="17">
        <v>12.5</v>
      </c>
      <c r="D18" s="6">
        <f t="shared" si="0"/>
        <v>1.04</v>
      </c>
      <c r="E18" s="7"/>
      <c r="F18" s="7"/>
      <c r="G18" s="7"/>
      <c r="H18" s="7"/>
    </row>
    <row r="19" spans="1:8" ht="15.75" customHeight="1">
      <c r="A19" s="8">
        <v>18</v>
      </c>
      <c r="B19" s="17">
        <v>10</v>
      </c>
      <c r="C19" s="17">
        <v>10</v>
      </c>
      <c r="D19" s="6">
        <f t="shared" si="0"/>
        <v>1</v>
      </c>
      <c r="E19" s="7"/>
      <c r="F19" s="7"/>
      <c r="G19" s="7"/>
      <c r="H19" s="7"/>
    </row>
    <row r="20" spans="1:8" ht="15.75" customHeight="1">
      <c r="A20" s="8">
        <v>19</v>
      </c>
      <c r="B20" s="17">
        <v>13.5</v>
      </c>
      <c r="C20" s="17">
        <v>13</v>
      </c>
      <c r="D20" s="6">
        <f t="shared" si="0"/>
        <v>1.0384615384615385</v>
      </c>
      <c r="E20" s="7"/>
      <c r="F20" s="7"/>
      <c r="G20" s="7"/>
      <c r="H20" s="7"/>
    </row>
    <row r="21" spans="1:8" ht="15.75" customHeight="1">
      <c r="A21" s="8">
        <v>20</v>
      </c>
      <c r="B21" s="17">
        <v>11</v>
      </c>
      <c r="C21" s="17">
        <v>11</v>
      </c>
      <c r="D21" s="6">
        <f t="shared" si="0"/>
        <v>1</v>
      </c>
      <c r="E21" s="7"/>
      <c r="F21" s="7"/>
      <c r="G21" s="7"/>
      <c r="H21" s="7"/>
    </row>
    <row r="22" spans="1:8" ht="15.75" customHeight="1">
      <c r="A22" s="8">
        <v>21</v>
      </c>
      <c r="B22" s="17">
        <v>12</v>
      </c>
      <c r="C22" s="17">
        <v>12</v>
      </c>
      <c r="D22" s="6">
        <f t="shared" si="0"/>
        <v>1</v>
      </c>
      <c r="E22" s="7"/>
      <c r="F22" s="7"/>
      <c r="G22" s="7"/>
      <c r="H22" s="7"/>
    </row>
    <row r="23" spans="1:8" ht="15.75" customHeight="1">
      <c r="A23" s="8">
        <v>22</v>
      </c>
      <c r="B23" s="17">
        <v>10</v>
      </c>
      <c r="C23" s="17">
        <v>11</v>
      </c>
      <c r="D23" s="6">
        <f t="shared" si="0"/>
        <v>0.90909090909090906</v>
      </c>
      <c r="E23" s="7"/>
      <c r="F23" s="7"/>
      <c r="G23" s="7"/>
      <c r="H23" s="25" t="s">
        <v>115</v>
      </c>
    </row>
    <row r="24" spans="1:8" ht="15.75" customHeight="1">
      <c r="A24" s="8">
        <v>23</v>
      </c>
      <c r="B24" s="17">
        <v>11.5</v>
      </c>
      <c r="C24" s="17">
        <v>11</v>
      </c>
      <c r="D24" s="6">
        <f t="shared" si="0"/>
        <v>1.0454545454545454</v>
      </c>
      <c r="E24" s="7"/>
      <c r="F24" s="7"/>
      <c r="G24" s="7"/>
      <c r="H24" s="24"/>
    </row>
    <row r="25" spans="1:8" ht="15.75" customHeight="1">
      <c r="A25" s="8">
        <v>24</v>
      </c>
      <c r="B25" s="17">
        <v>11.5</v>
      </c>
      <c r="C25" s="17">
        <v>10</v>
      </c>
      <c r="D25" s="6">
        <f t="shared" si="0"/>
        <v>1.1499999999999999</v>
      </c>
      <c r="E25" s="7"/>
      <c r="F25" s="7"/>
      <c r="G25" s="7"/>
      <c r="H25" s="24"/>
    </row>
    <row r="26" spans="1:8" ht="15.75" customHeight="1">
      <c r="A26" s="8">
        <v>25</v>
      </c>
      <c r="B26" s="17">
        <v>12</v>
      </c>
      <c r="C26" s="17">
        <v>11.5</v>
      </c>
      <c r="D26" s="6">
        <f t="shared" si="0"/>
        <v>1.0434782608695652</v>
      </c>
      <c r="E26" s="7"/>
      <c r="F26" s="7"/>
      <c r="G26" s="7"/>
      <c r="H26" s="24"/>
    </row>
    <row r="27" spans="1:8" ht="15.75" customHeight="1">
      <c r="A27" s="4" t="s">
        <v>10</v>
      </c>
      <c r="B27" s="5">
        <f t="shared" ref="B27:D27" si="1">AVERAGE(B2:B26)</f>
        <v>11.52</v>
      </c>
      <c r="C27" s="5">
        <f t="shared" si="1"/>
        <v>11.62</v>
      </c>
      <c r="D27" s="9">
        <f t="shared" si="1"/>
        <v>0.99285773646643216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9.5</v>
      </c>
      <c r="C28" s="5">
        <f t="shared" si="2"/>
        <v>10</v>
      </c>
      <c r="D28" s="9">
        <f t="shared" si="2"/>
        <v>0.875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13.5</v>
      </c>
      <c r="C29" s="5">
        <f t="shared" si="3"/>
        <v>14</v>
      </c>
      <c r="D29" s="9">
        <f t="shared" si="3"/>
        <v>1.1499999999999999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73.5</v>
      </c>
      <c r="C33" s="17">
        <v>16</v>
      </c>
      <c r="D33" s="13">
        <v>4</v>
      </c>
      <c r="E33" s="17">
        <v>6</v>
      </c>
      <c r="F33" s="7"/>
      <c r="G33" s="7"/>
      <c r="H33" s="14" t="s">
        <v>116</v>
      </c>
    </row>
    <row r="34" spans="1:8" ht="15.75" customHeight="1">
      <c r="A34" s="4">
        <v>2</v>
      </c>
      <c r="B34" s="17">
        <v>63</v>
      </c>
      <c r="C34" s="17">
        <v>16.5</v>
      </c>
      <c r="D34" s="13">
        <v>4</v>
      </c>
      <c r="E34" s="17">
        <v>5.5</v>
      </c>
      <c r="F34" s="7"/>
      <c r="G34" s="7"/>
      <c r="H34" s="14" t="s">
        <v>117</v>
      </c>
    </row>
    <row r="35" spans="1:8" ht="15.75" customHeight="1">
      <c r="A35" s="4">
        <v>3</v>
      </c>
      <c r="B35" s="17">
        <v>48</v>
      </c>
      <c r="C35" s="17">
        <v>13</v>
      </c>
      <c r="D35" s="13">
        <v>4</v>
      </c>
      <c r="E35" s="14">
        <v>8</v>
      </c>
      <c r="F35" s="7"/>
      <c r="G35" s="7"/>
      <c r="H35" s="7"/>
    </row>
    <row r="36" spans="1:8" ht="15.75" customHeight="1">
      <c r="A36" s="4">
        <v>4</v>
      </c>
      <c r="B36" s="17">
        <v>77</v>
      </c>
      <c r="C36" s="17">
        <v>21</v>
      </c>
      <c r="D36" s="13">
        <v>4</v>
      </c>
      <c r="E36" s="17">
        <v>7</v>
      </c>
      <c r="F36" s="7"/>
      <c r="G36" s="7"/>
      <c r="H36" s="14" t="s">
        <v>118</v>
      </c>
    </row>
    <row r="37" spans="1:8" ht="15.75" customHeight="1">
      <c r="A37" s="4">
        <v>5</v>
      </c>
      <c r="B37" s="5"/>
      <c r="C37" s="5"/>
      <c r="D37" s="11"/>
      <c r="E37" s="5"/>
      <c r="F37" s="7"/>
      <c r="G37" s="7"/>
      <c r="H37" s="7"/>
    </row>
    <row r="38" spans="1:8" ht="15.75" customHeight="1">
      <c r="A38" s="4">
        <v>6</v>
      </c>
      <c r="B38" s="5"/>
      <c r="C38" s="5"/>
      <c r="D38" s="11"/>
      <c r="E38" s="5"/>
      <c r="F38" s="7"/>
      <c r="G38" s="7"/>
      <c r="H38" s="7"/>
    </row>
    <row r="39" spans="1:8" ht="15.75" customHeight="1">
      <c r="A39" s="4">
        <v>7</v>
      </c>
      <c r="B39" s="5"/>
      <c r="C39" s="5"/>
      <c r="D39" s="11"/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13" ht="15.75" customHeight="1">
      <c r="A49" s="8">
        <v>17</v>
      </c>
      <c r="D49" s="12"/>
      <c r="F49" s="7"/>
      <c r="G49" s="7"/>
      <c r="H49" s="7"/>
    </row>
    <row r="50" spans="1:13" ht="15.75" customHeight="1">
      <c r="A50" s="8">
        <v>18</v>
      </c>
      <c r="D50" s="12"/>
      <c r="F50" s="7"/>
      <c r="G50" s="7"/>
      <c r="H50" s="7"/>
    </row>
    <row r="51" spans="1:13" ht="15.75" customHeight="1">
      <c r="A51" s="8">
        <v>19</v>
      </c>
      <c r="D51" s="12"/>
      <c r="F51" s="7"/>
      <c r="G51" s="7"/>
      <c r="H51" s="7"/>
      <c r="J51" s="1" t="s">
        <v>119</v>
      </c>
      <c r="M51" s="1" t="s">
        <v>120</v>
      </c>
    </row>
    <row r="52" spans="1:13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13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25" t="s">
        <v>121</v>
      </c>
    </row>
    <row r="54" spans="1:13" ht="14">
      <c r="A54" s="8">
        <v>22</v>
      </c>
      <c r="B54" s="5"/>
      <c r="C54" s="5"/>
      <c r="D54" s="13">
        <v>4</v>
      </c>
      <c r="E54" s="5"/>
      <c r="F54" s="7"/>
      <c r="G54" s="7"/>
      <c r="H54" s="24"/>
    </row>
    <row r="55" spans="1:13" ht="14">
      <c r="A55" s="8">
        <v>23</v>
      </c>
      <c r="B55" s="5"/>
      <c r="C55" s="5"/>
      <c r="D55" s="13">
        <v>4</v>
      </c>
      <c r="E55" s="5"/>
      <c r="F55" s="7"/>
      <c r="G55" s="7"/>
      <c r="H55" s="24"/>
    </row>
    <row r="56" spans="1:13" ht="14">
      <c r="A56" s="8">
        <v>24</v>
      </c>
      <c r="B56" s="5"/>
      <c r="C56" s="5"/>
      <c r="D56" s="13">
        <v>4</v>
      </c>
      <c r="E56" s="5"/>
      <c r="F56" s="7"/>
      <c r="G56" s="7"/>
      <c r="H56" s="24"/>
    </row>
    <row r="57" spans="1:13" ht="14">
      <c r="A57" s="8">
        <v>25</v>
      </c>
      <c r="B57" s="5"/>
      <c r="C57" s="5"/>
      <c r="D57" s="13">
        <v>4</v>
      </c>
      <c r="E57" s="5"/>
      <c r="F57" s="7"/>
      <c r="G57" s="7"/>
      <c r="H57" s="24"/>
    </row>
    <row r="58" spans="1:13" ht="14">
      <c r="A58" s="4" t="s">
        <v>10</v>
      </c>
      <c r="B58" s="5">
        <f t="shared" ref="B58:C58" si="4">AVERAGE(B33:B57)</f>
        <v>65.375</v>
      </c>
      <c r="C58" s="5">
        <f t="shared" si="4"/>
        <v>16.625</v>
      </c>
      <c r="D58" s="13" t="s">
        <v>18</v>
      </c>
      <c r="E58" s="7"/>
      <c r="F58" s="7"/>
      <c r="G58" s="7"/>
      <c r="H58" s="7"/>
    </row>
    <row r="59" spans="1:13" ht="14">
      <c r="A59" s="4" t="s">
        <v>11</v>
      </c>
      <c r="B59" s="5">
        <f t="shared" ref="B59:D59" si="5">MIN(B33:B57)</f>
        <v>48</v>
      </c>
      <c r="C59" s="5">
        <f t="shared" si="5"/>
        <v>13</v>
      </c>
      <c r="D59" s="11">
        <f t="shared" si="5"/>
        <v>4</v>
      </c>
      <c r="E59" s="7"/>
      <c r="F59" s="7"/>
      <c r="G59" s="7"/>
      <c r="H59" s="7"/>
    </row>
    <row r="60" spans="1:13" ht="14">
      <c r="A60" s="4" t="s">
        <v>12</v>
      </c>
      <c r="B60" s="5">
        <f t="shared" ref="B60:D60" si="6">MAX(B34:B58)</f>
        <v>77</v>
      </c>
      <c r="C60" s="5">
        <f t="shared" si="6"/>
        <v>21</v>
      </c>
      <c r="D60" s="11">
        <f t="shared" si="6"/>
        <v>4</v>
      </c>
      <c r="E60" s="7"/>
      <c r="F60" s="7"/>
      <c r="G60" s="7"/>
      <c r="H60" s="7"/>
    </row>
    <row r="61" spans="1:13" ht="14">
      <c r="A61" s="2"/>
      <c r="B61" s="7"/>
      <c r="C61" s="7"/>
      <c r="D61" s="10"/>
      <c r="E61" s="7"/>
      <c r="F61" s="7"/>
      <c r="G61" s="7"/>
      <c r="H61" s="7"/>
    </row>
    <row r="62" spans="1:13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13" ht="14">
      <c r="A63" s="2"/>
      <c r="B63" s="7"/>
      <c r="C63" s="7"/>
      <c r="D63" s="10"/>
      <c r="E63" s="7"/>
      <c r="F63" s="7"/>
      <c r="G63" s="7"/>
      <c r="H63" s="7"/>
    </row>
    <row r="64" spans="1:13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88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3">
    <mergeCell ref="H23:H26"/>
    <mergeCell ref="H53:H57"/>
    <mergeCell ref="D62:E6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I1006"/>
  <sheetViews>
    <sheetView workbookViewId="0"/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11</v>
      </c>
      <c r="C2" s="17">
        <v>9</v>
      </c>
      <c r="D2" s="6">
        <f t="shared" ref="D2:D26" si="0">B2/C2</f>
        <v>1.2222222222222223</v>
      </c>
      <c r="E2" s="7"/>
      <c r="F2" s="7"/>
      <c r="G2" s="7"/>
      <c r="H2" s="7"/>
    </row>
    <row r="3" spans="1:9" ht="15.75" customHeight="1">
      <c r="A3" s="4">
        <v>2</v>
      </c>
      <c r="B3" s="17">
        <v>10</v>
      </c>
      <c r="C3" s="17">
        <v>9</v>
      </c>
      <c r="D3" s="6">
        <f t="shared" si="0"/>
        <v>1.1111111111111112</v>
      </c>
      <c r="E3" s="7"/>
      <c r="F3" s="7"/>
      <c r="G3" s="7"/>
      <c r="H3" s="7"/>
    </row>
    <row r="4" spans="1:9" ht="15.75" customHeight="1">
      <c r="A4" s="4">
        <v>3</v>
      </c>
      <c r="B4" s="17">
        <v>10.5</v>
      </c>
      <c r="C4" s="17">
        <v>10</v>
      </c>
      <c r="D4" s="6">
        <f t="shared" si="0"/>
        <v>1.05</v>
      </c>
      <c r="E4" s="7"/>
      <c r="F4" s="7"/>
      <c r="G4" s="7"/>
      <c r="H4" s="7"/>
    </row>
    <row r="5" spans="1:9" ht="15.75" customHeight="1">
      <c r="A5" s="4">
        <v>4</v>
      </c>
      <c r="B5" s="17">
        <v>11</v>
      </c>
      <c r="C5" s="17">
        <v>10</v>
      </c>
      <c r="D5" s="6">
        <f t="shared" si="0"/>
        <v>1.1000000000000001</v>
      </c>
      <c r="E5" s="7"/>
      <c r="F5" s="7"/>
      <c r="G5" s="7"/>
      <c r="H5" s="7"/>
    </row>
    <row r="6" spans="1:9" ht="15.75" customHeight="1">
      <c r="A6" s="4">
        <v>5</v>
      </c>
      <c r="B6" s="17">
        <v>9</v>
      </c>
      <c r="C6" s="17">
        <v>9.5</v>
      </c>
      <c r="D6" s="6">
        <f t="shared" si="0"/>
        <v>0.94736842105263153</v>
      </c>
      <c r="E6" s="7"/>
      <c r="F6" s="7"/>
      <c r="G6" s="7"/>
      <c r="H6" s="7"/>
    </row>
    <row r="7" spans="1:9" ht="15.75" customHeight="1">
      <c r="A7" s="4">
        <v>6</v>
      </c>
      <c r="B7" s="17">
        <v>10.5</v>
      </c>
      <c r="C7" s="17">
        <v>10.5</v>
      </c>
      <c r="D7" s="6">
        <f t="shared" si="0"/>
        <v>1</v>
      </c>
      <c r="E7" s="7"/>
      <c r="F7" s="7"/>
      <c r="G7" s="7"/>
      <c r="H7" s="7"/>
    </row>
    <row r="8" spans="1:9" ht="15.75" customHeight="1">
      <c r="A8" s="4">
        <v>7</v>
      </c>
      <c r="B8" s="17">
        <v>11</v>
      </c>
      <c r="C8" s="17">
        <v>9</v>
      </c>
      <c r="D8" s="6">
        <f t="shared" si="0"/>
        <v>1.2222222222222223</v>
      </c>
      <c r="E8" s="7"/>
      <c r="F8" s="7"/>
      <c r="G8" s="7"/>
      <c r="H8" s="7"/>
    </row>
    <row r="9" spans="1:9" ht="15.75" customHeight="1">
      <c r="A9" s="4">
        <v>8</v>
      </c>
      <c r="B9" s="17">
        <v>11</v>
      </c>
      <c r="C9" s="17">
        <v>11</v>
      </c>
      <c r="D9" s="6">
        <f t="shared" si="0"/>
        <v>1</v>
      </c>
      <c r="E9" s="7"/>
      <c r="F9" s="7"/>
      <c r="G9" s="7"/>
      <c r="H9" s="7"/>
    </row>
    <row r="10" spans="1:9" ht="15.75" customHeight="1">
      <c r="A10" s="4">
        <v>9</v>
      </c>
      <c r="B10" s="17">
        <v>12</v>
      </c>
      <c r="C10" s="17">
        <v>11</v>
      </c>
      <c r="D10" s="6">
        <f t="shared" si="0"/>
        <v>1.0909090909090908</v>
      </c>
      <c r="E10" s="7"/>
      <c r="F10" s="7"/>
      <c r="G10" s="7"/>
      <c r="H10" s="7"/>
    </row>
    <row r="11" spans="1:9" ht="15.75" customHeight="1">
      <c r="A11" s="4">
        <v>10</v>
      </c>
      <c r="B11" s="17">
        <v>11.5</v>
      </c>
      <c r="C11" s="17">
        <v>11</v>
      </c>
      <c r="D11" s="6">
        <f t="shared" si="0"/>
        <v>1.0454545454545454</v>
      </c>
      <c r="E11" s="7"/>
      <c r="F11" s="7"/>
      <c r="G11" s="7"/>
      <c r="H11" s="7"/>
    </row>
    <row r="12" spans="1:9" ht="15.75" customHeight="1">
      <c r="A12" s="8">
        <v>11</v>
      </c>
      <c r="B12" s="17">
        <v>11</v>
      </c>
      <c r="C12" s="17">
        <v>11</v>
      </c>
      <c r="D12" s="6">
        <f t="shared" si="0"/>
        <v>1</v>
      </c>
      <c r="E12" s="7"/>
      <c r="F12" s="7"/>
      <c r="G12" s="7"/>
      <c r="H12" s="7"/>
    </row>
    <row r="13" spans="1:9" ht="15.75" customHeight="1">
      <c r="A13" s="8">
        <v>12</v>
      </c>
      <c r="B13" s="17">
        <v>9.5</v>
      </c>
      <c r="C13" s="17">
        <v>10</v>
      </c>
      <c r="D13" s="6">
        <f t="shared" si="0"/>
        <v>0.95</v>
      </c>
      <c r="E13" s="7"/>
      <c r="F13" s="7"/>
      <c r="G13" s="7"/>
      <c r="H13" s="7"/>
    </row>
    <row r="14" spans="1:9" ht="15.75" customHeight="1">
      <c r="A14" s="8">
        <v>13</v>
      </c>
      <c r="B14" s="17">
        <v>10</v>
      </c>
      <c r="C14" s="17">
        <v>10</v>
      </c>
      <c r="D14" s="6">
        <f t="shared" si="0"/>
        <v>1</v>
      </c>
      <c r="E14" s="7"/>
      <c r="F14" s="7"/>
      <c r="G14" s="7"/>
      <c r="H14" s="7"/>
    </row>
    <row r="15" spans="1:9" ht="15.75" customHeight="1">
      <c r="A15" s="8">
        <v>14</v>
      </c>
      <c r="B15" s="17">
        <v>9.5</v>
      </c>
      <c r="C15" s="17">
        <v>10</v>
      </c>
      <c r="D15" s="6">
        <f t="shared" si="0"/>
        <v>0.95</v>
      </c>
      <c r="E15" s="7"/>
      <c r="F15" s="7"/>
      <c r="G15" s="7"/>
      <c r="H15" s="7"/>
    </row>
    <row r="16" spans="1:9" ht="15.75" customHeight="1">
      <c r="A16" s="8">
        <v>15</v>
      </c>
      <c r="B16" s="17">
        <v>9.5</v>
      </c>
      <c r="C16" s="17">
        <v>10</v>
      </c>
      <c r="D16" s="6">
        <f t="shared" si="0"/>
        <v>0.95</v>
      </c>
      <c r="E16" s="7"/>
      <c r="F16" s="7"/>
      <c r="G16" s="7"/>
      <c r="H16" s="7"/>
      <c r="I16" s="1" t="s">
        <v>122</v>
      </c>
    </row>
    <row r="17" spans="1:8" ht="15.75" customHeight="1">
      <c r="A17" s="8">
        <v>16</v>
      </c>
      <c r="B17" s="17">
        <v>10</v>
      </c>
      <c r="C17" s="17">
        <v>9</v>
      </c>
      <c r="D17" s="6">
        <f t="shared" si="0"/>
        <v>1.1111111111111112</v>
      </c>
      <c r="E17" s="7"/>
      <c r="F17" s="7"/>
      <c r="G17" s="7"/>
      <c r="H17" s="7"/>
    </row>
    <row r="18" spans="1:8" ht="15.75" customHeight="1">
      <c r="A18" s="8">
        <v>17</v>
      </c>
      <c r="B18" s="17">
        <v>10</v>
      </c>
      <c r="C18" s="17">
        <v>10.5</v>
      </c>
      <c r="D18" s="6">
        <f t="shared" si="0"/>
        <v>0.95238095238095233</v>
      </c>
      <c r="E18" s="7"/>
      <c r="F18" s="7"/>
      <c r="G18" s="7"/>
      <c r="H18" s="7"/>
    </row>
    <row r="19" spans="1:8" ht="15.75" customHeight="1">
      <c r="A19" s="8">
        <v>18</v>
      </c>
      <c r="B19" s="17">
        <v>10.5</v>
      </c>
      <c r="C19" s="17">
        <v>10</v>
      </c>
      <c r="D19" s="6">
        <f t="shared" si="0"/>
        <v>1.05</v>
      </c>
      <c r="E19" s="7"/>
      <c r="F19" s="7"/>
      <c r="G19" s="7"/>
      <c r="H19" s="7"/>
    </row>
    <row r="20" spans="1:8" ht="15.75" customHeight="1">
      <c r="A20" s="8">
        <v>19</v>
      </c>
      <c r="B20" s="17">
        <v>10</v>
      </c>
      <c r="C20" s="17">
        <v>9.5</v>
      </c>
      <c r="D20" s="6">
        <f t="shared" si="0"/>
        <v>1.0526315789473684</v>
      </c>
      <c r="E20" s="7"/>
      <c r="F20" s="7"/>
      <c r="G20" s="7"/>
      <c r="H20" s="7"/>
    </row>
    <row r="21" spans="1:8" ht="15.75" customHeight="1">
      <c r="A21" s="8">
        <v>20</v>
      </c>
      <c r="B21" s="17">
        <v>9</v>
      </c>
      <c r="C21" s="17">
        <v>9</v>
      </c>
      <c r="D21" s="6">
        <f t="shared" si="0"/>
        <v>1</v>
      </c>
      <c r="E21" s="7"/>
      <c r="F21" s="7"/>
      <c r="G21" s="7"/>
      <c r="H21" s="7"/>
    </row>
    <row r="22" spans="1:8" ht="15.75" customHeight="1">
      <c r="A22" s="8">
        <v>21</v>
      </c>
      <c r="B22" s="17">
        <v>9</v>
      </c>
      <c r="C22" s="17">
        <v>8.5</v>
      </c>
      <c r="D22" s="6">
        <f t="shared" si="0"/>
        <v>1.0588235294117647</v>
      </c>
      <c r="E22" s="7"/>
      <c r="F22" s="7"/>
      <c r="G22" s="7"/>
      <c r="H22" s="7"/>
    </row>
    <row r="23" spans="1:8" ht="15.75" customHeight="1">
      <c r="A23" s="8">
        <v>22</v>
      </c>
      <c r="B23" s="17">
        <v>9</v>
      </c>
      <c r="C23" s="17">
        <v>9</v>
      </c>
      <c r="D23" s="6">
        <f t="shared" si="0"/>
        <v>1</v>
      </c>
      <c r="E23" s="7"/>
      <c r="F23" s="7"/>
      <c r="G23" s="7"/>
      <c r="H23" s="7"/>
    </row>
    <row r="24" spans="1:8" ht="15.75" customHeight="1">
      <c r="A24" s="8">
        <v>23</v>
      </c>
      <c r="B24" s="17">
        <v>10</v>
      </c>
      <c r="C24" s="17">
        <v>9.5</v>
      </c>
      <c r="D24" s="6">
        <f t="shared" si="0"/>
        <v>1.0526315789473684</v>
      </c>
      <c r="E24" s="7"/>
      <c r="F24" s="7"/>
      <c r="G24" s="7"/>
      <c r="H24" s="7"/>
    </row>
    <row r="25" spans="1:8" ht="15.75" customHeight="1">
      <c r="A25" s="8">
        <v>24</v>
      </c>
      <c r="B25" s="5"/>
      <c r="C25" s="5"/>
      <c r="D25" s="6" t="e">
        <f t="shared" si="0"/>
        <v>#DIV/0!</v>
      </c>
      <c r="E25" s="7"/>
      <c r="F25" s="7"/>
      <c r="G25" s="7"/>
      <c r="H25" s="7"/>
    </row>
    <row r="26" spans="1:8" ht="15.75" customHeight="1">
      <c r="A26" s="8">
        <v>25</v>
      </c>
      <c r="B26" s="5"/>
      <c r="C26" s="5"/>
      <c r="D26" s="6" t="e">
        <f t="shared" si="0"/>
        <v>#DIV/0!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10.195652173913043</v>
      </c>
      <c r="C27" s="5">
        <f t="shared" si="1"/>
        <v>9.8260869565217384</v>
      </c>
      <c r="D27" s="9" t="e">
        <f t="shared" si="1"/>
        <v>#DIV/0!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9</v>
      </c>
      <c r="C28" s="5">
        <f t="shared" si="2"/>
        <v>8.5</v>
      </c>
      <c r="D28" s="9" t="e">
        <f t="shared" si="2"/>
        <v>#DIV/0!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12</v>
      </c>
      <c r="C29" s="5">
        <f t="shared" si="3"/>
        <v>11</v>
      </c>
      <c r="D29" s="9" t="e">
        <f t="shared" si="3"/>
        <v>#DIV/0!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9" ht="15.75" customHeight="1">
      <c r="A33" s="4">
        <v>1</v>
      </c>
      <c r="B33" s="5"/>
      <c r="C33" s="5"/>
      <c r="D33" s="11"/>
      <c r="E33" s="5"/>
      <c r="F33" s="7"/>
      <c r="G33" s="7"/>
      <c r="H33" s="14" t="s">
        <v>123</v>
      </c>
      <c r="I33" s="1" t="s">
        <v>124</v>
      </c>
    </row>
    <row r="34" spans="1:9" ht="15.75" customHeight="1">
      <c r="A34" s="4">
        <v>2</v>
      </c>
      <c r="B34" s="5"/>
      <c r="C34" s="5"/>
      <c r="D34" s="11"/>
      <c r="E34" s="5"/>
      <c r="F34" s="7"/>
      <c r="G34" s="7"/>
      <c r="H34" s="7"/>
      <c r="I34" s="1" t="s">
        <v>125</v>
      </c>
    </row>
    <row r="35" spans="1:9" ht="15.75" customHeight="1">
      <c r="A35" s="4">
        <v>3</v>
      </c>
      <c r="B35" s="5"/>
      <c r="C35" s="5"/>
      <c r="D35" s="11"/>
      <c r="E35" s="7"/>
      <c r="F35" s="7"/>
      <c r="G35" s="7"/>
      <c r="H35" s="7"/>
      <c r="I35" s="1" t="s">
        <v>126</v>
      </c>
    </row>
    <row r="36" spans="1:9" ht="15.75" customHeight="1">
      <c r="A36" s="4">
        <v>4</v>
      </c>
      <c r="B36" s="5"/>
      <c r="C36" s="5"/>
      <c r="D36" s="11"/>
      <c r="E36" s="5"/>
      <c r="F36" s="7"/>
      <c r="G36" s="7"/>
      <c r="H36" s="14" t="s">
        <v>127</v>
      </c>
      <c r="I36" s="1" t="s">
        <v>128</v>
      </c>
    </row>
    <row r="37" spans="1:9" ht="15.75" customHeight="1">
      <c r="A37" s="4">
        <v>5</v>
      </c>
      <c r="B37" s="5"/>
      <c r="C37" s="5"/>
      <c r="D37" s="11"/>
      <c r="E37" s="5"/>
      <c r="F37" s="7"/>
      <c r="G37" s="7"/>
      <c r="H37" s="7"/>
    </row>
    <row r="38" spans="1:9" ht="15.75" customHeight="1">
      <c r="A38" s="4">
        <v>6</v>
      </c>
      <c r="B38" s="5"/>
      <c r="C38" s="5"/>
      <c r="D38" s="11"/>
      <c r="E38" s="5"/>
      <c r="F38" s="7"/>
      <c r="G38" s="7"/>
      <c r="H38" s="7"/>
    </row>
    <row r="39" spans="1:9" ht="15.75" customHeight="1">
      <c r="A39" s="4">
        <v>7</v>
      </c>
      <c r="B39" s="5"/>
      <c r="C39" s="5"/>
      <c r="D39" s="11"/>
      <c r="E39" s="5"/>
      <c r="F39" s="7"/>
      <c r="G39" s="7"/>
      <c r="H39" s="7"/>
    </row>
    <row r="40" spans="1:9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9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9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9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9" ht="15.75" customHeight="1">
      <c r="A44" s="8">
        <v>12</v>
      </c>
      <c r="D44" s="12"/>
      <c r="F44" s="7"/>
      <c r="G44" s="7"/>
      <c r="H44" s="7"/>
    </row>
    <row r="45" spans="1:9" ht="15.75" customHeight="1">
      <c r="A45" s="8">
        <v>13</v>
      </c>
      <c r="D45" s="12"/>
      <c r="F45" s="7"/>
      <c r="G45" s="7"/>
      <c r="H45" s="7"/>
    </row>
    <row r="46" spans="1:9" ht="15.75" customHeight="1">
      <c r="A46" s="8">
        <v>14</v>
      </c>
      <c r="D46" s="12"/>
      <c r="F46" s="7"/>
      <c r="G46" s="7"/>
      <c r="H46" s="7"/>
    </row>
    <row r="47" spans="1:9" ht="15.75" customHeight="1">
      <c r="A47" s="8">
        <v>15</v>
      </c>
      <c r="D47" s="12"/>
      <c r="F47" s="7"/>
      <c r="G47" s="7"/>
      <c r="H47" s="7"/>
    </row>
    <row r="48" spans="1:9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 t="e">
        <f t="shared" ref="B58:C58" si="4">AVERAGE(B33:B57)</f>
        <v>#DIV/0!</v>
      </c>
      <c r="C58" s="5" t="e">
        <f t="shared" si="4"/>
        <v>#DIV/0!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0</v>
      </c>
      <c r="C59" s="5">
        <f t="shared" si="5"/>
        <v>0</v>
      </c>
      <c r="D59" s="11">
        <f t="shared" si="5"/>
        <v>0</v>
      </c>
      <c r="E59" s="7"/>
      <c r="F59" s="7"/>
      <c r="G59" s="7"/>
      <c r="H59" s="7"/>
    </row>
    <row r="60" spans="1:8" ht="14">
      <c r="A60" s="4" t="s">
        <v>12</v>
      </c>
      <c r="B60" s="5" t="e">
        <f t="shared" ref="B60:D60" si="6">MAX(B34:B58)</f>
        <v>#DIV/0!</v>
      </c>
      <c r="C60" s="5" t="e">
        <f t="shared" si="6"/>
        <v>#DIV/0!</v>
      </c>
      <c r="D60" s="11">
        <f t="shared" si="6"/>
        <v>0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I1006"/>
  <sheetViews>
    <sheetView workbookViewId="0"/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9</v>
      </c>
      <c r="C2" s="17">
        <v>8.5</v>
      </c>
      <c r="D2" s="6">
        <f t="shared" ref="D2:D26" si="0">B2/C2</f>
        <v>1.0588235294117647</v>
      </c>
      <c r="E2" s="7"/>
      <c r="F2" s="14" t="s">
        <v>30</v>
      </c>
      <c r="G2" s="14" t="s">
        <v>29</v>
      </c>
      <c r="H2" s="7"/>
      <c r="I2" s="26" t="s">
        <v>129</v>
      </c>
    </row>
    <row r="3" spans="1:9" ht="15.75" customHeight="1">
      <c r="A3" s="4">
        <v>2</v>
      </c>
      <c r="B3" s="17">
        <v>8</v>
      </c>
      <c r="C3" s="17">
        <v>7.5</v>
      </c>
      <c r="D3" s="6">
        <f t="shared" si="0"/>
        <v>1.0666666666666667</v>
      </c>
      <c r="E3" s="7"/>
      <c r="F3" s="7"/>
      <c r="G3" s="7"/>
      <c r="H3" s="7"/>
      <c r="I3" s="24"/>
    </row>
    <row r="4" spans="1:9" ht="15.75" customHeight="1">
      <c r="A4" s="4">
        <v>3</v>
      </c>
      <c r="B4" s="17">
        <v>8</v>
      </c>
      <c r="C4" s="17">
        <v>8</v>
      </c>
      <c r="D4" s="6">
        <f t="shared" si="0"/>
        <v>1</v>
      </c>
      <c r="E4" s="7"/>
      <c r="F4" s="7"/>
      <c r="G4" s="7"/>
      <c r="H4" s="7"/>
      <c r="I4" s="24"/>
    </row>
    <row r="5" spans="1:9" ht="15.75" customHeight="1">
      <c r="A5" s="4">
        <v>4</v>
      </c>
      <c r="B5" s="17">
        <v>9</v>
      </c>
      <c r="C5" s="17">
        <v>8.5</v>
      </c>
      <c r="D5" s="6">
        <f t="shared" si="0"/>
        <v>1.0588235294117647</v>
      </c>
      <c r="E5" s="7"/>
      <c r="F5" s="7"/>
      <c r="G5" s="7"/>
      <c r="H5" s="7"/>
      <c r="I5" s="24"/>
    </row>
    <row r="6" spans="1:9" ht="15.75" customHeight="1">
      <c r="A6" s="4">
        <v>5</v>
      </c>
      <c r="B6" s="17">
        <v>7.5</v>
      </c>
      <c r="C6" s="17">
        <v>7.5</v>
      </c>
      <c r="D6" s="6">
        <f t="shared" si="0"/>
        <v>1</v>
      </c>
      <c r="E6" s="7"/>
      <c r="F6" s="7"/>
      <c r="G6" s="7"/>
      <c r="H6" s="7"/>
      <c r="I6" s="24"/>
    </row>
    <row r="7" spans="1:9" ht="15.75" customHeight="1">
      <c r="A7" s="4">
        <v>6</v>
      </c>
      <c r="B7" s="17">
        <v>6.5</v>
      </c>
      <c r="C7" s="17">
        <v>6.5</v>
      </c>
      <c r="D7" s="6">
        <f t="shared" si="0"/>
        <v>1</v>
      </c>
      <c r="E7" s="7"/>
      <c r="F7" s="7"/>
      <c r="G7" s="7"/>
      <c r="H7" s="7"/>
      <c r="I7" s="24"/>
    </row>
    <row r="8" spans="1:9" ht="15.75" customHeight="1">
      <c r="A8" s="4">
        <v>7</v>
      </c>
      <c r="B8" s="17">
        <v>8.5</v>
      </c>
      <c r="C8" s="17">
        <v>8.5</v>
      </c>
      <c r="D8" s="6">
        <f t="shared" si="0"/>
        <v>1</v>
      </c>
      <c r="E8" s="7"/>
      <c r="F8" s="7"/>
      <c r="G8" s="7"/>
      <c r="H8" s="7"/>
      <c r="I8" s="24"/>
    </row>
    <row r="9" spans="1:9" ht="15.75" customHeight="1">
      <c r="A9" s="4">
        <v>8</v>
      </c>
      <c r="B9" s="17">
        <v>8</v>
      </c>
      <c r="C9" s="17">
        <v>7</v>
      </c>
      <c r="D9" s="6">
        <f t="shared" si="0"/>
        <v>1.1428571428571428</v>
      </c>
      <c r="E9" s="7"/>
      <c r="F9" s="7"/>
      <c r="G9" s="7"/>
      <c r="H9" s="7"/>
      <c r="I9" s="24"/>
    </row>
    <row r="10" spans="1:9" ht="15.75" customHeight="1">
      <c r="A10" s="4">
        <v>9</v>
      </c>
      <c r="B10" s="17">
        <v>8</v>
      </c>
      <c r="C10" s="17">
        <v>8</v>
      </c>
      <c r="D10" s="6">
        <f t="shared" si="0"/>
        <v>1</v>
      </c>
      <c r="E10" s="7"/>
      <c r="F10" s="7"/>
      <c r="G10" s="7"/>
      <c r="H10" s="7"/>
      <c r="I10" s="24"/>
    </row>
    <row r="11" spans="1:9" ht="15.75" customHeight="1">
      <c r="A11" s="4">
        <v>10</v>
      </c>
      <c r="B11" s="17">
        <v>9</v>
      </c>
      <c r="C11" s="17">
        <v>8.5</v>
      </c>
      <c r="D11" s="6">
        <f t="shared" si="0"/>
        <v>1.0588235294117647</v>
      </c>
      <c r="E11" s="7"/>
      <c r="F11" s="7"/>
      <c r="G11" s="7"/>
      <c r="H11" s="7"/>
      <c r="I11" s="24"/>
    </row>
    <row r="12" spans="1:9" ht="15.75" customHeight="1">
      <c r="A12" s="8">
        <v>11</v>
      </c>
      <c r="B12" s="17">
        <v>8.5</v>
      </c>
      <c r="C12" s="17">
        <v>8</v>
      </c>
      <c r="D12" s="6">
        <f t="shared" si="0"/>
        <v>1.0625</v>
      </c>
      <c r="E12" s="7"/>
      <c r="F12" s="7"/>
      <c r="G12" s="7"/>
      <c r="H12" s="7"/>
      <c r="I12" s="24"/>
    </row>
    <row r="13" spans="1:9" ht="15.75" customHeight="1">
      <c r="A13" s="8">
        <v>12</v>
      </c>
      <c r="B13" s="17">
        <v>8</v>
      </c>
      <c r="C13" s="17">
        <v>8.5</v>
      </c>
      <c r="D13" s="6">
        <f t="shared" si="0"/>
        <v>0.94117647058823528</v>
      </c>
      <c r="E13" s="7"/>
      <c r="F13" s="7"/>
      <c r="G13" s="7"/>
      <c r="H13" s="7"/>
      <c r="I13" s="24"/>
    </row>
    <row r="14" spans="1:9" ht="15.75" customHeight="1">
      <c r="A14" s="8">
        <v>13</v>
      </c>
      <c r="B14" s="17">
        <v>9.5</v>
      </c>
      <c r="C14" s="17">
        <v>8.5</v>
      </c>
      <c r="D14" s="6">
        <f t="shared" si="0"/>
        <v>1.1176470588235294</v>
      </c>
      <c r="E14" s="7"/>
      <c r="F14" s="7"/>
      <c r="G14" s="7"/>
      <c r="H14" s="7"/>
      <c r="I14" s="24"/>
    </row>
    <row r="15" spans="1:9" ht="15.75" customHeight="1">
      <c r="A15" s="8">
        <v>14</v>
      </c>
      <c r="B15" s="17">
        <v>8.5</v>
      </c>
      <c r="C15" s="17">
        <v>7.5</v>
      </c>
      <c r="D15" s="6">
        <f t="shared" si="0"/>
        <v>1.1333333333333333</v>
      </c>
      <c r="E15" s="7"/>
      <c r="F15" s="7"/>
      <c r="G15" s="7"/>
      <c r="H15" s="7"/>
      <c r="I15" s="24"/>
    </row>
    <row r="16" spans="1:9" ht="15.75" customHeight="1">
      <c r="A16" s="8">
        <v>15</v>
      </c>
      <c r="B16" s="17">
        <v>9</v>
      </c>
      <c r="C16" s="17">
        <v>8</v>
      </c>
      <c r="D16" s="6">
        <f t="shared" si="0"/>
        <v>1.125</v>
      </c>
      <c r="E16" s="7"/>
      <c r="F16" s="7"/>
      <c r="G16" s="7"/>
      <c r="H16" s="7"/>
      <c r="I16" s="24"/>
    </row>
    <row r="17" spans="1:9" ht="15.75" customHeight="1">
      <c r="A17" s="8">
        <v>16</v>
      </c>
      <c r="B17" s="17">
        <v>7.5</v>
      </c>
      <c r="C17" s="17">
        <v>7.5</v>
      </c>
      <c r="D17" s="6">
        <f t="shared" si="0"/>
        <v>1</v>
      </c>
      <c r="E17" s="7"/>
      <c r="F17" s="7"/>
      <c r="G17" s="7"/>
      <c r="H17" s="7"/>
      <c r="I17" s="24"/>
    </row>
    <row r="18" spans="1:9" ht="15.75" customHeight="1">
      <c r="A18" s="8">
        <v>17</v>
      </c>
      <c r="B18" s="17">
        <v>7.5</v>
      </c>
      <c r="C18" s="17">
        <v>7.5</v>
      </c>
      <c r="D18" s="6">
        <f t="shared" si="0"/>
        <v>1</v>
      </c>
      <c r="E18" s="7"/>
      <c r="F18" s="7"/>
      <c r="G18" s="7"/>
      <c r="H18" s="7"/>
      <c r="I18" s="24"/>
    </row>
    <row r="19" spans="1:9" ht="15.75" customHeight="1">
      <c r="A19" s="8">
        <v>18</v>
      </c>
      <c r="B19" s="17">
        <v>8.5</v>
      </c>
      <c r="C19" s="17">
        <v>8</v>
      </c>
      <c r="D19" s="6">
        <f t="shared" si="0"/>
        <v>1.0625</v>
      </c>
      <c r="E19" s="7"/>
      <c r="F19" s="7"/>
      <c r="G19" s="7"/>
      <c r="H19" s="7"/>
    </row>
    <row r="20" spans="1:9" ht="15.75" customHeight="1">
      <c r="A20" s="8">
        <v>19</v>
      </c>
      <c r="B20" s="17">
        <v>8.5</v>
      </c>
      <c r="C20" s="17">
        <v>8</v>
      </c>
      <c r="D20" s="6">
        <f t="shared" si="0"/>
        <v>1.0625</v>
      </c>
      <c r="E20" s="7"/>
      <c r="F20" s="7"/>
      <c r="G20" s="7"/>
      <c r="H20" s="7"/>
    </row>
    <row r="21" spans="1:9" ht="15.75" customHeight="1">
      <c r="A21" s="8">
        <v>20</v>
      </c>
      <c r="B21" s="17">
        <v>8</v>
      </c>
      <c r="C21" s="17">
        <v>7.5</v>
      </c>
      <c r="D21" s="6">
        <f t="shared" si="0"/>
        <v>1.0666666666666667</v>
      </c>
      <c r="E21" s="7"/>
      <c r="F21" s="7"/>
      <c r="G21" s="7"/>
      <c r="H21" s="7"/>
    </row>
    <row r="22" spans="1:9" ht="15.75" customHeight="1">
      <c r="A22" s="8">
        <v>21</v>
      </c>
      <c r="B22" s="17">
        <v>8.5</v>
      </c>
      <c r="C22" s="17">
        <v>8</v>
      </c>
      <c r="D22" s="6">
        <f t="shared" si="0"/>
        <v>1.0625</v>
      </c>
      <c r="E22" s="7"/>
      <c r="F22" s="7"/>
      <c r="G22" s="7"/>
      <c r="H22" s="7"/>
    </row>
    <row r="23" spans="1:9" ht="15.75" customHeight="1">
      <c r="A23" s="8">
        <v>22</v>
      </c>
      <c r="B23" s="17">
        <v>9</v>
      </c>
      <c r="C23" s="17">
        <v>8.5</v>
      </c>
      <c r="D23" s="6">
        <f t="shared" si="0"/>
        <v>1.0588235294117647</v>
      </c>
      <c r="E23" s="7"/>
      <c r="F23" s="7"/>
      <c r="G23" s="7"/>
      <c r="H23" s="7"/>
    </row>
    <row r="24" spans="1:9" ht="15.75" customHeight="1">
      <c r="A24" s="8">
        <v>23</v>
      </c>
      <c r="B24" s="17">
        <v>8.5</v>
      </c>
      <c r="C24" s="17">
        <v>8</v>
      </c>
      <c r="D24" s="6">
        <f t="shared" si="0"/>
        <v>1.0625</v>
      </c>
      <c r="E24" s="7"/>
      <c r="F24" s="7"/>
      <c r="G24" s="7"/>
      <c r="H24" s="7"/>
    </row>
    <row r="25" spans="1:9" ht="15.75" customHeight="1">
      <c r="A25" s="8">
        <v>24</v>
      </c>
      <c r="B25" s="17">
        <v>9.5</v>
      </c>
      <c r="C25" s="17">
        <v>8.5</v>
      </c>
      <c r="D25" s="6">
        <f t="shared" si="0"/>
        <v>1.1176470588235294</v>
      </c>
      <c r="E25" s="7"/>
      <c r="F25" s="7"/>
      <c r="G25" s="7"/>
      <c r="H25" s="7"/>
    </row>
    <row r="26" spans="1:9" ht="15.75" customHeight="1">
      <c r="A26" s="8">
        <v>25</v>
      </c>
      <c r="B26" s="17">
        <v>9</v>
      </c>
      <c r="C26" s="17">
        <v>9</v>
      </c>
      <c r="D26" s="6">
        <f t="shared" si="0"/>
        <v>1</v>
      </c>
      <c r="E26" s="7"/>
      <c r="F26" s="7"/>
      <c r="G26" s="7"/>
      <c r="H26" s="7"/>
    </row>
    <row r="27" spans="1:9" ht="15.75" customHeight="1">
      <c r="A27" s="4" t="s">
        <v>10</v>
      </c>
      <c r="B27" s="5">
        <f t="shared" ref="B27:D27" si="1">AVERAGE(B2:B26)</f>
        <v>8.3800000000000008</v>
      </c>
      <c r="C27" s="5">
        <f t="shared" si="1"/>
        <v>7.98</v>
      </c>
      <c r="D27" s="9">
        <f t="shared" si="1"/>
        <v>1.0503515406162465</v>
      </c>
      <c r="E27" s="7"/>
      <c r="F27" s="7"/>
      <c r="G27" s="7"/>
      <c r="H27" s="7"/>
    </row>
    <row r="28" spans="1:9" ht="15.75" customHeight="1">
      <c r="A28" s="4" t="s">
        <v>11</v>
      </c>
      <c r="B28" s="5">
        <f t="shared" ref="B28:D28" si="2">MIN(B3:B26)</f>
        <v>6.5</v>
      </c>
      <c r="C28" s="5">
        <f t="shared" si="2"/>
        <v>6.5</v>
      </c>
      <c r="D28" s="9">
        <f t="shared" si="2"/>
        <v>0.94117647058823528</v>
      </c>
      <c r="E28" s="7"/>
      <c r="F28" s="7"/>
      <c r="G28" s="7"/>
      <c r="H28" s="7"/>
    </row>
    <row r="29" spans="1:9" ht="15.75" customHeight="1">
      <c r="A29" s="4" t="s">
        <v>12</v>
      </c>
      <c r="B29" s="5">
        <f t="shared" ref="B29:D29" si="3">MAX(B4:B26)</f>
        <v>9.5</v>
      </c>
      <c r="C29" s="5">
        <f t="shared" si="3"/>
        <v>9</v>
      </c>
      <c r="D29" s="9">
        <f t="shared" si="3"/>
        <v>1.1428571428571428</v>
      </c>
      <c r="E29" s="7"/>
      <c r="F29" s="7"/>
      <c r="G29" s="7"/>
      <c r="H29" s="7"/>
    </row>
    <row r="30" spans="1:9" ht="15.75" customHeight="1">
      <c r="A30" s="2"/>
      <c r="B30" s="7"/>
      <c r="C30" s="7"/>
      <c r="D30" s="10"/>
      <c r="E30" s="7"/>
      <c r="F30" s="7"/>
      <c r="G30" s="7"/>
      <c r="H30" s="7"/>
    </row>
    <row r="31" spans="1:9" ht="15.75" customHeight="1">
      <c r="A31" s="2"/>
      <c r="B31" s="7"/>
      <c r="C31" s="7"/>
      <c r="D31" s="10"/>
      <c r="E31" s="7"/>
      <c r="F31" s="7"/>
      <c r="G31" s="7"/>
      <c r="H31" s="7"/>
    </row>
    <row r="32" spans="1:9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9" ht="15.75" customHeight="1">
      <c r="A33" s="4">
        <v>1</v>
      </c>
      <c r="B33" s="17">
        <v>49</v>
      </c>
      <c r="C33" s="17">
        <v>11</v>
      </c>
      <c r="D33" s="13">
        <v>4</v>
      </c>
      <c r="E33" s="17">
        <v>3</v>
      </c>
      <c r="F33" s="7"/>
      <c r="G33" s="7"/>
      <c r="H33" s="7"/>
      <c r="I33" s="1" t="s">
        <v>130</v>
      </c>
    </row>
    <row r="34" spans="1:9" ht="15.75" customHeight="1">
      <c r="A34" s="4">
        <v>2</v>
      </c>
      <c r="B34" s="17">
        <v>38.5</v>
      </c>
      <c r="C34" s="17">
        <v>10</v>
      </c>
      <c r="D34" s="13">
        <v>4</v>
      </c>
      <c r="E34" s="17">
        <v>5</v>
      </c>
      <c r="F34" s="7"/>
      <c r="G34" s="7"/>
      <c r="H34" s="7"/>
    </row>
    <row r="35" spans="1:9" ht="15.75" customHeight="1">
      <c r="A35" s="4">
        <v>3</v>
      </c>
      <c r="B35" s="17">
        <v>46</v>
      </c>
      <c r="C35" s="17">
        <v>9.5</v>
      </c>
      <c r="D35" s="13">
        <v>4</v>
      </c>
      <c r="E35" s="14">
        <v>6</v>
      </c>
      <c r="F35" s="7"/>
      <c r="G35" s="7"/>
      <c r="H35" s="7"/>
    </row>
    <row r="36" spans="1:9" ht="15.75" customHeight="1">
      <c r="A36" s="4">
        <v>4</v>
      </c>
      <c r="B36" s="17">
        <v>41</v>
      </c>
      <c r="C36" s="17">
        <v>9</v>
      </c>
      <c r="D36" s="13">
        <v>2</v>
      </c>
      <c r="E36" s="17">
        <v>4</v>
      </c>
      <c r="F36" s="7"/>
      <c r="G36" s="7"/>
      <c r="H36" s="7"/>
    </row>
    <row r="37" spans="1:9" ht="15.75" customHeight="1">
      <c r="A37" s="4">
        <v>5</v>
      </c>
      <c r="B37" s="17">
        <v>41</v>
      </c>
      <c r="C37" s="17">
        <v>10</v>
      </c>
      <c r="D37" s="13">
        <v>2</v>
      </c>
      <c r="E37" s="17">
        <v>5</v>
      </c>
      <c r="F37" s="7"/>
      <c r="G37" s="7"/>
      <c r="H37" s="7"/>
    </row>
    <row r="38" spans="1:9" ht="15.75" customHeight="1">
      <c r="A38" s="4">
        <v>6</v>
      </c>
      <c r="B38" s="17">
        <v>41.5</v>
      </c>
      <c r="C38" s="17">
        <v>9</v>
      </c>
      <c r="D38" s="13">
        <v>4</v>
      </c>
      <c r="E38" s="17">
        <v>4</v>
      </c>
      <c r="F38" s="7"/>
      <c r="G38" s="7"/>
      <c r="H38" s="7"/>
    </row>
    <row r="39" spans="1:9" ht="15.75" customHeight="1">
      <c r="A39" s="4">
        <v>7</v>
      </c>
      <c r="B39" s="17">
        <v>39.5</v>
      </c>
      <c r="C39" s="17">
        <v>9.5</v>
      </c>
      <c r="D39" s="13">
        <v>2</v>
      </c>
      <c r="E39" s="17">
        <v>7</v>
      </c>
      <c r="F39" s="7"/>
      <c r="G39" s="7"/>
      <c r="H39" s="7"/>
    </row>
    <row r="40" spans="1:9" ht="15.75" customHeight="1">
      <c r="A40" s="4">
        <v>8</v>
      </c>
      <c r="B40" s="5"/>
      <c r="C40" s="5"/>
      <c r="D40" s="13">
        <v>4</v>
      </c>
      <c r="E40" s="5"/>
      <c r="F40" s="7"/>
      <c r="G40" s="7"/>
      <c r="H40" s="7"/>
    </row>
    <row r="41" spans="1:9" ht="15.75" customHeight="1">
      <c r="A41" s="4">
        <v>9</v>
      </c>
      <c r="B41" s="5"/>
      <c r="C41" s="5"/>
      <c r="D41" s="13">
        <v>4</v>
      </c>
      <c r="E41" s="5"/>
      <c r="F41" s="7"/>
      <c r="G41" s="7"/>
      <c r="H41" s="7"/>
    </row>
    <row r="42" spans="1:9" ht="15.75" customHeight="1">
      <c r="A42" s="4">
        <v>10</v>
      </c>
      <c r="B42" s="5"/>
      <c r="C42" s="5"/>
      <c r="D42" s="13">
        <v>4</v>
      </c>
      <c r="E42" s="5"/>
      <c r="F42" s="7"/>
      <c r="G42" s="7"/>
      <c r="H42" s="7"/>
    </row>
    <row r="43" spans="1:9" ht="15.75" customHeight="1">
      <c r="A43" s="8">
        <v>11</v>
      </c>
      <c r="B43" s="5"/>
      <c r="C43" s="5"/>
      <c r="D43" s="13">
        <v>4</v>
      </c>
      <c r="E43" s="5"/>
      <c r="F43" s="7"/>
      <c r="G43" s="7"/>
      <c r="H43" s="7"/>
    </row>
    <row r="44" spans="1:9" ht="15.75" customHeight="1">
      <c r="A44" s="8">
        <v>12</v>
      </c>
      <c r="D44" s="12">
        <v>4</v>
      </c>
      <c r="F44" s="7"/>
      <c r="G44" s="7"/>
      <c r="H44" s="7"/>
    </row>
    <row r="45" spans="1:9" ht="15.75" customHeight="1">
      <c r="A45" s="8">
        <v>13</v>
      </c>
      <c r="D45" s="12">
        <v>2</v>
      </c>
      <c r="F45" s="7"/>
      <c r="G45" s="7"/>
      <c r="H45" s="7"/>
    </row>
    <row r="46" spans="1:9" ht="15.75" customHeight="1">
      <c r="A46" s="8">
        <v>14</v>
      </c>
      <c r="D46" s="12">
        <v>2</v>
      </c>
      <c r="F46" s="7"/>
      <c r="G46" s="7"/>
      <c r="H46" s="7"/>
    </row>
    <row r="47" spans="1:9" ht="15.75" customHeight="1">
      <c r="A47" s="8">
        <v>15</v>
      </c>
      <c r="D47" s="12">
        <v>4</v>
      </c>
      <c r="F47" s="7"/>
      <c r="G47" s="7"/>
      <c r="H47" s="7"/>
    </row>
    <row r="48" spans="1:9" ht="15.75" customHeight="1">
      <c r="A48" s="8">
        <v>16</v>
      </c>
      <c r="D48" s="12">
        <v>4</v>
      </c>
      <c r="F48" s="7"/>
      <c r="G48" s="7"/>
      <c r="H48" s="7"/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2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2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42.357142857142854</v>
      </c>
      <c r="C58" s="5">
        <f t="shared" si="4"/>
        <v>9.7142857142857135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38.5</v>
      </c>
      <c r="C59" s="5">
        <f t="shared" si="5"/>
        <v>9</v>
      </c>
      <c r="D59" s="11">
        <f t="shared" si="5"/>
        <v>2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46</v>
      </c>
      <c r="C60" s="5">
        <f t="shared" si="6"/>
        <v>10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14">
        <v>90</v>
      </c>
      <c r="D63" s="18">
        <v>10</v>
      </c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5</v>
      </c>
      <c r="C65" s="14">
        <v>9</v>
      </c>
      <c r="D65" s="18">
        <v>6</v>
      </c>
      <c r="E65" s="7"/>
      <c r="F65" s="7"/>
      <c r="G65" s="7"/>
      <c r="H65" s="7"/>
    </row>
    <row r="66" spans="1:8" ht="14">
      <c r="A66" s="2"/>
      <c r="B66" s="14">
        <v>8</v>
      </c>
      <c r="C66" s="14">
        <v>9</v>
      </c>
      <c r="D66" s="18">
        <v>9</v>
      </c>
      <c r="E66" s="7"/>
      <c r="F66" s="7"/>
      <c r="G66" s="7"/>
      <c r="H66" s="7"/>
    </row>
    <row r="67" spans="1:8" ht="14">
      <c r="A67" s="2"/>
      <c r="B67" s="14">
        <v>7</v>
      </c>
      <c r="C67" s="14">
        <v>13</v>
      </c>
      <c r="D67" s="18">
        <v>8</v>
      </c>
      <c r="E67" s="7"/>
      <c r="F67" s="7"/>
      <c r="G67" s="7"/>
      <c r="H67" s="7"/>
    </row>
    <row r="68" spans="1:8" ht="14">
      <c r="A68" s="2"/>
      <c r="B68" s="14">
        <v>5</v>
      </c>
      <c r="C68" s="14">
        <v>16</v>
      </c>
      <c r="D68" s="18">
        <v>13</v>
      </c>
      <c r="E68" s="7"/>
      <c r="F68" s="7"/>
      <c r="G68" s="7"/>
      <c r="H68" s="7"/>
    </row>
    <row r="69" spans="1:8" ht="14">
      <c r="A69" s="2"/>
      <c r="B69" s="14">
        <v>4</v>
      </c>
      <c r="C69" s="14">
        <v>90</v>
      </c>
      <c r="D69" s="18">
        <v>27</v>
      </c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14" t="s">
        <v>108</v>
      </c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131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2">
    <mergeCell ref="I2:I18"/>
    <mergeCell ref="D62:E6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H1006"/>
  <sheetViews>
    <sheetView workbookViewId="0"/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10</v>
      </c>
      <c r="C2" s="17">
        <v>5</v>
      </c>
      <c r="D2" s="6">
        <f t="shared" ref="D2:D26" si="0">B2/C2</f>
        <v>2</v>
      </c>
      <c r="E2" s="7"/>
      <c r="F2" s="7"/>
      <c r="G2" s="7"/>
      <c r="H2" s="7"/>
    </row>
    <row r="3" spans="1:8" ht="15.75" customHeight="1">
      <c r="A3" s="4">
        <v>2</v>
      </c>
      <c r="B3" s="17">
        <v>9</v>
      </c>
      <c r="C3" s="17">
        <v>5.5</v>
      </c>
      <c r="D3" s="6">
        <f t="shared" si="0"/>
        <v>1.6363636363636365</v>
      </c>
      <c r="E3" s="7"/>
      <c r="F3" s="7"/>
      <c r="G3" s="7"/>
      <c r="H3" s="7"/>
    </row>
    <row r="4" spans="1:8" ht="15.75" customHeight="1">
      <c r="A4" s="4">
        <v>3</v>
      </c>
      <c r="B4" s="17">
        <v>9</v>
      </c>
      <c r="C4" s="17">
        <v>6</v>
      </c>
      <c r="D4" s="6">
        <f t="shared" si="0"/>
        <v>1.5</v>
      </c>
      <c r="E4" s="7"/>
      <c r="F4" s="7"/>
      <c r="G4" s="7"/>
      <c r="H4" s="7"/>
    </row>
    <row r="5" spans="1:8" ht="15.75" customHeight="1">
      <c r="A5" s="4">
        <v>4</v>
      </c>
      <c r="B5" s="17">
        <v>11.5</v>
      </c>
      <c r="C5" s="17">
        <v>7</v>
      </c>
      <c r="D5" s="6">
        <f t="shared" si="0"/>
        <v>1.6428571428571428</v>
      </c>
      <c r="E5" s="7"/>
      <c r="F5" s="7"/>
      <c r="G5" s="7"/>
      <c r="H5" s="7"/>
    </row>
    <row r="6" spans="1:8" ht="15.75" customHeight="1">
      <c r="A6" s="4">
        <v>5</v>
      </c>
      <c r="B6" s="17">
        <v>10</v>
      </c>
      <c r="C6" s="17">
        <v>6.5</v>
      </c>
      <c r="D6" s="6">
        <f t="shared" si="0"/>
        <v>1.5384615384615385</v>
      </c>
      <c r="E6" s="7"/>
      <c r="F6" s="7"/>
      <c r="G6" s="7"/>
      <c r="H6" s="7"/>
    </row>
    <row r="7" spans="1:8" ht="15.75" customHeight="1">
      <c r="A7" s="4">
        <v>6</v>
      </c>
      <c r="B7" s="17">
        <v>10</v>
      </c>
      <c r="C7" s="17">
        <v>6.5</v>
      </c>
      <c r="D7" s="6">
        <f t="shared" si="0"/>
        <v>1.5384615384615385</v>
      </c>
      <c r="E7" s="7"/>
      <c r="F7" s="7"/>
      <c r="G7" s="7"/>
      <c r="H7" s="7"/>
    </row>
    <row r="8" spans="1:8" ht="15.75" customHeight="1">
      <c r="A8" s="4">
        <v>7</v>
      </c>
      <c r="B8" s="17">
        <v>11</v>
      </c>
      <c r="C8" s="17">
        <v>7</v>
      </c>
      <c r="D8" s="6">
        <f t="shared" si="0"/>
        <v>1.5714285714285714</v>
      </c>
      <c r="E8" s="7"/>
      <c r="F8" s="7"/>
      <c r="G8" s="7"/>
      <c r="H8" s="7"/>
    </row>
    <row r="9" spans="1:8" ht="15.75" customHeight="1">
      <c r="A9" s="4">
        <v>8</v>
      </c>
      <c r="B9" s="17">
        <v>12</v>
      </c>
      <c r="C9" s="17">
        <v>7</v>
      </c>
      <c r="D9" s="6">
        <f t="shared" si="0"/>
        <v>1.7142857142857142</v>
      </c>
      <c r="E9" s="7"/>
      <c r="F9" s="7"/>
      <c r="G9" s="7"/>
      <c r="H9" s="7"/>
    </row>
    <row r="10" spans="1:8" ht="15.75" customHeight="1">
      <c r="A10" s="4">
        <v>9</v>
      </c>
      <c r="B10" s="17">
        <v>11</v>
      </c>
      <c r="C10" s="17">
        <v>6.5</v>
      </c>
      <c r="D10" s="6">
        <f t="shared" si="0"/>
        <v>1.6923076923076923</v>
      </c>
      <c r="E10" s="7"/>
      <c r="F10" s="7"/>
      <c r="G10" s="7"/>
      <c r="H10" s="7"/>
    </row>
    <row r="11" spans="1:8" ht="15.75" customHeight="1">
      <c r="A11" s="4">
        <v>10</v>
      </c>
      <c r="B11" s="17">
        <v>11.5</v>
      </c>
      <c r="C11" s="17">
        <v>6</v>
      </c>
      <c r="D11" s="6">
        <f t="shared" si="0"/>
        <v>1.9166666666666667</v>
      </c>
      <c r="E11" s="7"/>
      <c r="F11" s="7"/>
      <c r="G11" s="7"/>
      <c r="H11" s="7"/>
    </row>
    <row r="12" spans="1:8" ht="15.75" customHeight="1">
      <c r="A12" s="8">
        <v>11</v>
      </c>
      <c r="B12" s="17">
        <v>11</v>
      </c>
      <c r="C12" s="17">
        <v>6.5</v>
      </c>
      <c r="D12" s="6">
        <f t="shared" si="0"/>
        <v>1.6923076923076923</v>
      </c>
      <c r="E12" s="7"/>
      <c r="F12" s="7"/>
      <c r="G12" s="7"/>
      <c r="H12" s="7"/>
    </row>
    <row r="13" spans="1:8" ht="15.75" customHeight="1">
      <c r="A13" s="8">
        <v>12</v>
      </c>
      <c r="B13" s="17">
        <v>10</v>
      </c>
      <c r="C13" s="17">
        <v>6</v>
      </c>
      <c r="D13" s="6">
        <f t="shared" si="0"/>
        <v>1.6666666666666667</v>
      </c>
      <c r="E13" s="7"/>
      <c r="F13" s="7"/>
      <c r="G13" s="7"/>
      <c r="H13" s="7"/>
    </row>
    <row r="14" spans="1:8" ht="15.75" customHeight="1">
      <c r="A14" s="8">
        <v>13</v>
      </c>
      <c r="B14" s="17">
        <v>10</v>
      </c>
      <c r="C14" s="17">
        <v>7</v>
      </c>
      <c r="D14" s="6">
        <f t="shared" si="0"/>
        <v>1.4285714285714286</v>
      </c>
      <c r="E14" s="7"/>
      <c r="F14" s="7"/>
      <c r="G14" s="7"/>
      <c r="H14" s="7"/>
    </row>
    <row r="15" spans="1:8" ht="15.75" customHeight="1">
      <c r="A15" s="8">
        <v>14</v>
      </c>
      <c r="B15" s="17">
        <v>9.5</v>
      </c>
      <c r="C15" s="17">
        <v>6</v>
      </c>
      <c r="D15" s="6">
        <f t="shared" si="0"/>
        <v>1.5833333333333333</v>
      </c>
      <c r="E15" s="7"/>
      <c r="F15" s="7"/>
      <c r="G15" s="7"/>
      <c r="H15" s="7"/>
    </row>
    <row r="16" spans="1:8" ht="15.75" customHeight="1">
      <c r="A16" s="8">
        <v>15</v>
      </c>
      <c r="B16" s="17">
        <v>10</v>
      </c>
      <c r="C16" s="17">
        <v>6.5</v>
      </c>
      <c r="D16" s="6">
        <f t="shared" si="0"/>
        <v>1.5384615384615385</v>
      </c>
      <c r="E16" s="7"/>
      <c r="F16" s="7"/>
      <c r="G16" s="7"/>
      <c r="H16" s="7"/>
    </row>
    <row r="17" spans="1:8" ht="15.75" customHeight="1">
      <c r="A17" s="8">
        <v>16</v>
      </c>
      <c r="B17" s="17">
        <v>10.5</v>
      </c>
      <c r="C17" s="17">
        <v>6.5</v>
      </c>
      <c r="D17" s="6">
        <f t="shared" si="0"/>
        <v>1.6153846153846154</v>
      </c>
      <c r="E17" s="7"/>
      <c r="F17" s="7"/>
      <c r="G17" s="7"/>
      <c r="H17" s="7"/>
    </row>
    <row r="18" spans="1:8" ht="15.75" customHeight="1">
      <c r="A18" s="8">
        <v>17</v>
      </c>
      <c r="B18" s="17">
        <v>10</v>
      </c>
      <c r="C18" s="17">
        <v>6.5</v>
      </c>
      <c r="D18" s="6">
        <f t="shared" si="0"/>
        <v>1.5384615384615385</v>
      </c>
      <c r="E18" s="7"/>
      <c r="F18" s="7"/>
      <c r="G18" s="7"/>
      <c r="H18" s="7"/>
    </row>
    <row r="19" spans="1:8" ht="15.75" customHeight="1">
      <c r="A19" s="8">
        <v>18</v>
      </c>
      <c r="B19" s="17">
        <v>10</v>
      </c>
      <c r="C19" s="17">
        <v>6.5</v>
      </c>
      <c r="D19" s="6">
        <f t="shared" si="0"/>
        <v>1.5384615384615385</v>
      </c>
      <c r="E19" s="7"/>
      <c r="F19" s="7"/>
      <c r="G19" s="7"/>
      <c r="H19" s="7"/>
    </row>
    <row r="20" spans="1:8" ht="15.75" customHeight="1">
      <c r="A20" s="8">
        <v>19</v>
      </c>
      <c r="B20" s="17">
        <v>9.5</v>
      </c>
      <c r="C20" s="17">
        <v>5.5</v>
      </c>
      <c r="D20" s="6">
        <f t="shared" si="0"/>
        <v>1.7272727272727273</v>
      </c>
      <c r="E20" s="7"/>
      <c r="F20" s="7"/>
      <c r="G20" s="7"/>
      <c r="H20" s="7"/>
    </row>
    <row r="21" spans="1:8" ht="15.75" customHeight="1">
      <c r="A21" s="8">
        <v>20</v>
      </c>
      <c r="B21" s="17">
        <v>9.5</v>
      </c>
      <c r="C21" s="17">
        <v>6.5</v>
      </c>
      <c r="D21" s="6">
        <f t="shared" si="0"/>
        <v>1.4615384615384615</v>
      </c>
      <c r="E21" s="7"/>
      <c r="F21" s="7"/>
      <c r="G21" s="7"/>
      <c r="H21" s="7"/>
    </row>
    <row r="22" spans="1:8" ht="15.75" customHeight="1">
      <c r="A22" s="8">
        <v>21</v>
      </c>
      <c r="B22" s="17">
        <v>11</v>
      </c>
      <c r="C22" s="17">
        <v>6.5</v>
      </c>
      <c r="D22" s="6">
        <f t="shared" si="0"/>
        <v>1.6923076923076923</v>
      </c>
      <c r="E22" s="7"/>
      <c r="F22" s="7"/>
      <c r="G22" s="7"/>
      <c r="H22" s="7"/>
    </row>
    <row r="23" spans="1:8" ht="15.75" customHeight="1">
      <c r="A23" s="8">
        <v>22</v>
      </c>
      <c r="B23" s="17">
        <v>11</v>
      </c>
      <c r="C23" s="17">
        <v>7</v>
      </c>
      <c r="D23" s="6">
        <f t="shared" si="0"/>
        <v>1.5714285714285714</v>
      </c>
      <c r="E23" s="7"/>
      <c r="F23" s="7"/>
      <c r="G23" s="7"/>
      <c r="H23" s="7"/>
    </row>
    <row r="24" spans="1:8" ht="15.75" customHeight="1">
      <c r="A24" s="8">
        <v>23</v>
      </c>
      <c r="B24" s="17">
        <v>10</v>
      </c>
      <c r="C24" s="17">
        <v>6</v>
      </c>
      <c r="D24" s="6">
        <f t="shared" si="0"/>
        <v>1.6666666666666667</v>
      </c>
      <c r="E24" s="7"/>
      <c r="F24" s="7"/>
      <c r="G24" s="7"/>
      <c r="H24" s="7"/>
    </row>
    <row r="25" spans="1:8" ht="15.75" customHeight="1">
      <c r="A25" s="8">
        <v>24</v>
      </c>
      <c r="B25" s="17">
        <v>10.5</v>
      </c>
      <c r="C25" s="17">
        <v>6.5</v>
      </c>
      <c r="D25" s="6">
        <f t="shared" si="0"/>
        <v>1.6153846153846154</v>
      </c>
      <c r="E25" s="7"/>
      <c r="F25" s="7"/>
      <c r="G25" s="7"/>
      <c r="H25" s="7"/>
    </row>
    <row r="26" spans="1:8" ht="15.75" customHeight="1">
      <c r="A26" s="8">
        <v>25</v>
      </c>
      <c r="B26" s="17">
        <v>11</v>
      </c>
      <c r="C26" s="17">
        <v>7</v>
      </c>
      <c r="D26" s="6">
        <f t="shared" si="0"/>
        <v>1.5714285714285714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10.34</v>
      </c>
      <c r="C27" s="5">
        <f t="shared" si="1"/>
        <v>6.38</v>
      </c>
      <c r="D27" s="9">
        <f t="shared" si="1"/>
        <v>1.6263403263403262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9</v>
      </c>
      <c r="C28" s="5">
        <f t="shared" si="2"/>
        <v>5.5</v>
      </c>
      <c r="D28" s="9">
        <f t="shared" si="2"/>
        <v>1.4285714285714286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12</v>
      </c>
      <c r="C29" s="5">
        <f t="shared" si="3"/>
        <v>7</v>
      </c>
      <c r="D29" s="9">
        <f t="shared" si="3"/>
        <v>1.9166666666666667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43</v>
      </c>
      <c r="C33" s="17">
        <v>11</v>
      </c>
      <c r="D33" s="13">
        <v>4</v>
      </c>
      <c r="E33" s="17">
        <v>4</v>
      </c>
      <c r="F33" s="14" t="s">
        <v>132</v>
      </c>
      <c r="G33" s="7"/>
      <c r="H33" s="7"/>
    </row>
    <row r="34" spans="1:8" ht="15.75" customHeight="1">
      <c r="A34" s="4">
        <v>2</v>
      </c>
      <c r="B34" s="17">
        <v>51</v>
      </c>
      <c r="C34" s="17">
        <v>10</v>
      </c>
      <c r="D34" s="13">
        <v>4</v>
      </c>
      <c r="E34" s="17">
        <v>4.5</v>
      </c>
      <c r="F34" s="7"/>
      <c r="G34" s="7"/>
      <c r="H34" s="7"/>
    </row>
    <row r="35" spans="1:8" ht="15.75" customHeight="1">
      <c r="A35" s="4">
        <v>3</v>
      </c>
      <c r="B35" s="17">
        <v>40.5</v>
      </c>
      <c r="C35" s="17">
        <v>10</v>
      </c>
      <c r="D35" s="13">
        <v>3</v>
      </c>
      <c r="E35" s="14">
        <v>6.5</v>
      </c>
      <c r="F35" s="7"/>
      <c r="G35" s="7"/>
      <c r="H35" s="14" t="s">
        <v>133</v>
      </c>
    </row>
    <row r="36" spans="1:8" ht="15.75" customHeight="1">
      <c r="A36" s="4">
        <v>4</v>
      </c>
      <c r="B36" s="17">
        <v>45.5</v>
      </c>
      <c r="C36" s="17">
        <v>9</v>
      </c>
      <c r="D36" s="13">
        <v>4</v>
      </c>
      <c r="E36" s="17">
        <v>5</v>
      </c>
      <c r="F36" s="7"/>
      <c r="G36" s="7"/>
      <c r="H36" s="7"/>
    </row>
    <row r="37" spans="1:8" ht="15.75" customHeight="1">
      <c r="A37" s="4">
        <v>5</v>
      </c>
      <c r="B37" s="17">
        <v>40.5</v>
      </c>
      <c r="C37" s="17">
        <v>11</v>
      </c>
      <c r="D37" s="13">
        <v>2</v>
      </c>
      <c r="E37" s="17">
        <v>4</v>
      </c>
      <c r="F37" s="7"/>
      <c r="G37" s="7"/>
      <c r="H37" s="7"/>
    </row>
    <row r="38" spans="1:8" ht="15.75" customHeight="1">
      <c r="A38" s="4">
        <v>6</v>
      </c>
      <c r="B38" s="17">
        <v>45</v>
      </c>
      <c r="C38" s="17">
        <v>11</v>
      </c>
      <c r="D38" s="13">
        <v>4</v>
      </c>
      <c r="E38" s="17">
        <v>4.5</v>
      </c>
      <c r="F38" s="7"/>
      <c r="G38" s="7"/>
      <c r="H38" s="7"/>
    </row>
    <row r="39" spans="1:8" ht="15.75" customHeight="1">
      <c r="A39" s="4">
        <v>7</v>
      </c>
      <c r="B39" s="17">
        <v>41</v>
      </c>
      <c r="C39" s="17">
        <v>10</v>
      </c>
      <c r="D39" s="13">
        <v>4</v>
      </c>
      <c r="E39" s="17">
        <v>4.5</v>
      </c>
      <c r="F39" s="7"/>
      <c r="G39" s="7"/>
      <c r="H39" s="7"/>
    </row>
    <row r="40" spans="1:8" ht="15.75" customHeight="1">
      <c r="A40" s="4">
        <v>8</v>
      </c>
      <c r="B40" s="17">
        <v>50</v>
      </c>
      <c r="C40" s="17">
        <v>9.5</v>
      </c>
      <c r="D40" s="13">
        <v>4</v>
      </c>
      <c r="E40" s="17">
        <v>4</v>
      </c>
      <c r="F40" s="7"/>
      <c r="G40" s="7"/>
      <c r="H40" s="7"/>
    </row>
    <row r="41" spans="1:8" ht="15.75" customHeight="1">
      <c r="A41" s="4">
        <v>9</v>
      </c>
      <c r="B41" s="17">
        <v>42.5</v>
      </c>
      <c r="C41" s="17">
        <v>11.5</v>
      </c>
      <c r="D41" s="13">
        <v>4</v>
      </c>
      <c r="E41" s="17">
        <v>3.5</v>
      </c>
      <c r="F41" s="7"/>
      <c r="G41" s="7"/>
      <c r="H41" s="7"/>
    </row>
    <row r="42" spans="1:8" ht="15.75" customHeight="1">
      <c r="A42" s="4">
        <v>10</v>
      </c>
      <c r="B42" s="17">
        <v>47</v>
      </c>
      <c r="C42" s="17">
        <v>10</v>
      </c>
      <c r="D42" s="13">
        <v>4</v>
      </c>
      <c r="E42" s="17">
        <v>6</v>
      </c>
      <c r="F42" s="7"/>
      <c r="G42" s="7"/>
      <c r="H42" s="7"/>
    </row>
    <row r="43" spans="1:8" ht="15.75" customHeight="1">
      <c r="A43" s="8">
        <v>11</v>
      </c>
      <c r="B43" s="17">
        <v>46</v>
      </c>
      <c r="C43" s="17">
        <v>10</v>
      </c>
      <c r="D43" s="13">
        <v>4</v>
      </c>
      <c r="E43" s="17" t="s">
        <v>134</v>
      </c>
      <c r="F43" s="7"/>
      <c r="G43" s="7"/>
      <c r="H43" s="7"/>
    </row>
    <row r="44" spans="1:8" ht="15.75" customHeight="1">
      <c r="A44" s="8">
        <v>12</v>
      </c>
      <c r="B44" s="1">
        <v>44</v>
      </c>
      <c r="C44" s="1">
        <v>10</v>
      </c>
      <c r="D44" s="12">
        <v>4</v>
      </c>
      <c r="E44" s="1">
        <v>4</v>
      </c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44.666666666666664</v>
      </c>
      <c r="C58" s="5">
        <f t="shared" si="4"/>
        <v>10.25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40.5</v>
      </c>
      <c r="C59" s="5">
        <f t="shared" si="5"/>
        <v>9</v>
      </c>
      <c r="D59" s="11">
        <f t="shared" si="5"/>
        <v>2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51</v>
      </c>
      <c r="C60" s="5">
        <f t="shared" si="6"/>
        <v>11.5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14" t="s">
        <v>135</v>
      </c>
      <c r="D63" s="18" t="s">
        <v>136</v>
      </c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14">
        <v>90</v>
      </c>
      <c r="D65" s="18">
        <v>70</v>
      </c>
      <c r="E65" s="7"/>
      <c r="F65" s="7"/>
      <c r="G65" s="7"/>
      <c r="H65" s="7"/>
    </row>
    <row r="66" spans="1:8" ht="14">
      <c r="A66" s="2"/>
      <c r="B66" s="7"/>
      <c r="C66" s="14">
        <v>105</v>
      </c>
      <c r="D66" s="18">
        <v>81</v>
      </c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 t="s">
        <v>108</v>
      </c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137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H1006"/>
  <sheetViews>
    <sheetView workbookViewId="0"/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5"/>
      <c r="C2" s="5"/>
      <c r="D2" s="6" t="e">
        <f t="shared" ref="D2:D26" si="0">B2/C2</f>
        <v>#DIV/0!</v>
      </c>
      <c r="E2" s="7"/>
      <c r="F2" s="7"/>
      <c r="G2" s="7"/>
      <c r="H2" s="7"/>
    </row>
    <row r="3" spans="1:8" ht="15.75" customHeight="1">
      <c r="A3" s="4">
        <v>2</v>
      </c>
      <c r="B3" s="5"/>
      <c r="C3" s="5"/>
      <c r="D3" s="6" t="e">
        <f t="shared" si="0"/>
        <v>#DIV/0!</v>
      </c>
      <c r="E3" s="7"/>
      <c r="F3" s="7"/>
      <c r="G3" s="7"/>
      <c r="H3" s="7"/>
    </row>
    <row r="4" spans="1:8" ht="15.75" customHeight="1">
      <c r="A4" s="4">
        <v>3</v>
      </c>
      <c r="B4" s="5"/>
      <c r="C4" s="5"/>
      <c r="D4" s="6" t="e">
        <f t="shared" si="0"/>
        <v>#DIV/0!</v>
      </c>
      <c r="E4" s="7"/>
      <c r="F4" s="7"/>
      <c r="G4" s="7"/>
      <c r="H4" s="7"/>
    </row>
    <row r="5" spans="1:8" ht="15.75" customHeight="1">
      <c r="A5" s="4">
        <v>4</v>
      </c>
      <c r="B5" s="5"/>
      <c r="C5" s="5"/>
      <c r="D5" s="6" t="e">
        <f t="shared" si="0"/>
        <v>#DIV/0!</v>
      </c>
      <c r="E5" s="7"/>
      <c r="F5" s="7"/>
      <c r="G5" s="7"/>
      <c r="H5" s="7"/>
    </row>
    <row r="6" spans="1:8" ht="15.75" customHeight="1">
      <c r="A6" s="4">
        <v>5</v>
      </c>
      <c r="B6" s="5"/>
      <c r="C6" s="5"/>
      <c r="D6" s="6" t="e">
        <f t="shared" si="0"/>
        <v>#DIV/0!</v>
      </c>
      <c r="E6" s="7"/>
      <c r="F6" s="7"/>
      <c r="G6" s="7"/>
      <c r="H6" s="7"/>
    </row>
    <row r="7" spans="1:8" ht="15.75" customHeight="1">
      <c r="A7" s="4">
        <v>6</v>
      </c>
      <c r="B7" s="5"/>
      <c r="C7" s="5"/>
      <c r="D7" s="6" t="e">
        <f t="shared" si="0"/>
        <v>#DIV/0!</v>
      </c>
      <c r="E7" s="7"/>
      <c r="F7" s="7"/>
      <c r="G7" s="7"/>
      <c r="H7" s="7"/>
    </row>
    <row r="8" spans="1:8" ht="15.75" customHeight="1">
      <c r="A8" s="4">
        <v>7</v>
      </c>
      <c r="B8" s="5"/>
      <c r="C8" s="5"/>
      <c r="D8" s="6" t="e">
        <f t="shared" si="0"/>
        <v>#DIV/0!</v>
      </c>
      <c r="E8" s="7"/>
      <c r="F8" s="7"/>
      <c r="G8" s="7"/>
      <c r="H8" s="7"/>
    </row>
    <row r="9" spans="1:8" ht="15.75" customHeight="1">
      <c r="A9" s="4">
        <v>8</v>
      </c>
      <c r="B9" s="5"/>
      <c r="C9" s="5"/>
      <c r="D9" s="6" t="e">
        <f t="shared" si="0"/>
        <v>#DIV/0!</v>
      </c>
      <c r="E9" s="7"/>
      <c r="F9" s="7"/>
      <c r="G9" s="7"/>
      <c r="H9" s="7"/>
    </row>
    <row r="10" spans="1:8" ht="15.75" customHeight="1">
      <c r="A10" s="4">
        <v>9</v>
      </c>
      <c r="B10" s="5"/>
      <c r="C10" s="5"/>
      <c r="D10" s="6" t="e">
        <f t="shared" si="0"/>
        <v>#DIV/0!</v>
      </c>
      <c r="E10" s="7"/>
      <c r="F10" s="7"/>
      <c r="G10" s="7"/>
      <c r="H10" s="7"/>
    </row>
    <row r="11" spans="1:8" ht="15.75" customHeight="1">
      <c r="A11" s="4">
        <v>10</v>
      </c>
      <c r="B11" s="5"/>
      <c r="C11" s="5"/>
      <c r="D11" s="6" t="e">
        <f t="shared" si="0"/>
        <v>#DIV/0!</v>
      </c>
      <c r="E11" s="7"/>
      <c r="F11" s="7"/>
      <c r="G11" s="7"/>
      <c r="H11" s="7"/>
    </row>
    <row r="12" spans="1:8" ht="15.75" customHeight="1">
      <c r="A12" s="8">
        <v>11</v>
      </c>
      <c r="B12" s="5"/>
      <c r="C12" s="5"/>
      <c r="D12" s="6" t="e">
        <f t="shared" si="0"/>
        <v>#DIV/0!</v>
      </c>
      <c r="E12" s="7"/>
      <c r="F12" s="7"/>
      <c r="G12" s="7"/>
      <c r="H12" s="7"/>
    </row>
    <row r="13" spans="1:8" ht="15.75" customHeight="1">
      <c r="A13" s="8">
        <v>12</v>
      </c>
      <c r="B13" s="5"/>
      <c r="C13" s="5"/>
      <c r="D13" s="6" t="e">
        <f t="shared" si="0"/>
        <v>#DIV/0!</v>
      </c>
      <c r="E13" s="7"/>
      <c r="F13" s="7"/>
      <c r="G13" s="7"/>
      <c r="H13" s="7"/>
    </row>
    <row r="14" spans="1:8" ht="15.75" customHeight="1">
      <c r="A14" s="8">
        <v>13</v>
      </c>
      <c r="B14" s="5"/>
      <c r="C14" s="5"/>
      <c r="D14" s="6" t="e">
        <f t="shared" si="0"/>
        <v>#DIV/0!</v>
      </c>
      <c r="E14" s="7"/>
      <c r="F14" s="7"/>
      <c r="G14" s="7"/>
      <c r="H14" s="7"/>
    </row>
    <row r="15" spans="1:8" ht="15.75" customHeight="1">
      <c r="A15" s="8">
        <v>14</v>
      </c>
      <c r="B15" s="5"/>
      <c r="C15" s="5"/>
      <c r="D15" s="6" t="e">
        <f t="shared" si="0"/>
        <v>#DIV/0!</v>
      </c>
      <c r="E15" s="7"/>
      <c r="F15" s="7"/>
      <c r="G15" s="7"/>
      <c r="H15" s="7"/>
    </row>
    <row r="16" spans="1:8" ht="15.75" customHeight="1">
      <c r="A16" s="8">
        <v>15</v>
      </c>
      <c r="B16" s="5"/>
      <c r="C16" s="5"/>
      <c r="D16" s="6" t="e">
        <f t="shared" si="0"/>
        <v>#DIV/0!</v>
      </c>
      <c r="E16" s="7"/>
      <c r="F16" s="7"/>
      <c r="G16" s="7"/>
      <c r="H16" s="7"/>
    </row>
    <row r="17" spans="1:8" ht="15.75" customHeight="1">
      <c r="A17" s="8">
        <v>16</v>
      </c>
      <c r="B17" s="5"/>
      <c r="C17" s="5"/>
      <c r="D17" s="6" t="e">
        <f t="shared" si="0"/>
        <v>#DIV/0!</v>
      </c>
      <c r="E17" s="7"/>
      <c r="F17" s="7"/>
      <c r="G17" s="7"/>
      <c r="H17" s="7"/>
    </row>
    <row r="18" spans="1:8" ht="15.75" customHeight="1">
      <c r="A18" s="8">
        <v>17</v>
      </c>
      <c r="B18" s="5"/>
      <c r="C18" s="5"/>
      <c r="D18" s="6" t="e">
        <f t="shared" si="0"/>
        <v>#DIV/0!</v>
      </c>
      <c r="E18" s="7"/>
      <c r="F18" s="7"/>
      <c r="G18" s="7"/>
      <c r="H18" s="7"/>
    </row>
    <row r="19" spans="1:8" ht="15.75" customHeight="1">
      <c r="A19" s="8">
        <v>18</v>
      </c>
      <c r="B19" s="5"/>
      <c r="C19" s="5"/>
      <c r="D19" s="6" t="e">
        <f t="shared" si="0"/>
        <v>#DIV/0!</v>
      </c>
      <c r="E19" s="7"/>
      <c r="F19" s="7"/>
      <c r="G19" s="7"/>
      <c r="H19" s="7"/>
    </row>
    <row r="20" spans="1:8" ht="15.75" customHeight="1">
      <c r="A20" s="8">
        <v>19</v>
      </c>
      <c r="B20" s="5"/>
      <c r="C20" s="5"/>
      <c r="D20" s="6" t="e">
        <f t="shared" si="0"/>
        <v>#DIV/0!</v>
      </c>
      <c r="E20" s="7"/>
      <c r="F20" s="7"/>
      <c r="G20" s="7"/>
      <c r="H20" s="7"/>
    </row>
    <row r="21" spans="1:8" ht="15.75" customHeight="1">
      <c r="A21" s="8">
        <v>20</v>
      </c>
      <c r="B21" s="5"/>
      <c r="C21" s="5"/>
      <c r="D21" s="6" t="e">
        <f t="shared" si="0"/>
        <v>#DIV/0!</v>
      </c>
      <c r="E21" s="7"/>
      <c r="F21" s="7"/>
      <c r="G21" s="7"/>
      <c r="H21" s="7"/>
    </row>
    <row r="22" spans="1:8" ht="15.75" customHeight="1">
      <c r="A22" s="8">
        <v>21</v>
      </c>
      <c r="B22" s="5"/>
      <c r="C22" s="5"/>
      <c r="D22" s="6" t="e">
        <f t="shared" si="0"/>
        <v>#DIV/0!</v>
      </c>
      <c r="E22" s="7"/>
      <c r="F22" s="7"/>
      <c r="G22" s="7"/>
      <c r="H22" s="7"/>
    </row>
    <row r="23" spans="1:8" ht="15.75" customHeight="1">
      <c r="A23" s="8">
        <v>22</v>
      </c>
      <c r="B23" s="5"/>
      <c r="C23" s="5"/>
      <c r="D23" s="6" t="e">
        <f t="shared" si="0"/>
        <v>#DIV/0!</v>
      </c>
      <c r="E23" s="7"/>
      <c r="F23" s="7"/>
      <c r="G23" s="7"/>
      <c r="H23" s="7"/>
    </row>
    <row r="24" spans="1:8" ht="15.75" customHeight="1">
      <c r="A24" s="8">
        <v>23</v>
      </c>
      <c r="B24" s="5"/>
      <c r="C24" s="5"/>
      <c r="D24" s="6" t="e">
        <f t="shared" si="0"/>
        <v>#DIV/0!</v>
      </c>
      <c r="E24" s="7"/>
      <c r="F24" s="7"/>
      <c r="G24" s="7"/>
      <c r="H24" s="7"/>
    </row>
    <row r="25" spans="1:8" ht="15.75" customHeight="1">
      <c r="A25" s="8">
        <v>24</v>
      </c>
      <c r="B25" s="5"/>
      <c r="C25" s="5"/>
      <c r="D25" s="6" t="e">
        <f t="shared" si="0"/>
        <v>#DIV/0!</v>
      </c>
      <c r="E25" s="7"/>
      <c r="F25" s="7"/>
      <c r="G25" s="7"/>
      <c r="H25" s="7"/>
    </row>
    <row r="26" spans="1:8" ht="15.75" customHeight="1">
      <c r="A26" s="8">
        <v>25</v>
      </c>
      <c r="B26" s="5"/>
      <c r="C26" s="5"/>
      <c r="D26" s="6" t="e">
        <f t="shared" si="0"/>
        <v>#DIV/0!</v>
      </c>
      <c r="E26" s="7"/>
      <c r="F26" s="7"/>
      <c r="G26" s="7"/>
      <c r="H26" s="7"/>
    </row>
    <row r="27" spans="1:8" ht="15.75" customHeight="1">
      <c r="A27" s="4" t="s">
        <v>10</v>
      </c>
      <c r="B27" s="5" t="e">
        <f t="shared" ref="B27:D27" si="1">AVERAGE(B2:B26)</f>
        <v>#DIV/0!</v>
      </c>
      <c r="C27" s="5" t="e">
        <f t="shared" si="1"/>
        <v>#DIV/0!</v>
      </c>
      <c r="D27" s="9" t="e">
        <f t="shared" si="1"/>
        <v>#DIV/0!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0</v>
      </c>
      <c r="C28" s="5">
        <f t="shared" si="2"/>
        <v>0</v>
      </c>
      <c r="D28" s="9" t="e">
        <f t="shared" si="2"/>
        <v>#DIV/0!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0</v>
      </c>
      <c r="C29" s="5">
        <f t="shared" si="3"/>
        <v>0</v>
      </c>
      <c r="D29" s="9" t="e">
        <f t="shared" si="3"/>
        <v>#DIV/0!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5"/>
      <c r="C33" s="5"/>
      <c r="D33" s="11"/>
      <c r="E33" s="5"/>
      <c r="F33" s="7"/>
      <c r="G33" s="7"/>
      <c r="H33" s="7"/>
    </row>
    <row r="34" spans="1:8" ht="15.75" customHeight="1">
      <c r="A34" s="4">
        <v>2</v>
      </c>
      <c r="B34" s="5"/>
      <c r="C34" s="5"/>
      <c r="D34" s="11"/>
      <c r="E34" s="5"/>
      <c r="F34" s="7"/>
      <c r="G34" s="7"/>
      <c r="H34" s="7"/>
    </row>
    <row r="35" spans="1:8" ht="15.75" customHeight="1">
      <c r="A35" s="4">
        <v>3</v>
      </c>
      <c r="B35" s="5"/>
      <c r="C35" s="5"/>
      <c r="D35" s="11"/>
      <c r="E35" s="7"/>
      <c r="F35" s="7"/>
      <c r="G35" s="7"/>
      <c r="H35" s="7"/>
    </row>
    <row r="36" spans="1:8" ht="15.75" customHeight="1">
      <c r="A36" s="4">
        <v>4</v>
      </c>
      <c r="B36" s="5"/>
      <c r="C36" s="5"/>
      <c r="D36" s="11"/>
      <c r="E36" s="5"/>
      <c r="F36" s="7"/>
      <c r="G36" s="7"/>
      <c r="H36" s="7"/>
    </row>
    <row r="37" spans="1:8" ht="15.75" customHeight="1">
      <c r="A37" s="4">
        <v>5</v>
      </c>
      <c r="B37" s="5"/>
      <c r="C37" s="5"/>
      <c r="D37" s="11"/>
      <c r="E37" s="5"/>
      <c r="F37" s="7"/>
      <c r="G37" s="7"/>
      <c r="H37" s="7"/>
    </row>
    <row r="38" spans="1:8" ht="15.75" customHeight="1">
      <c r="A38" s="4">
        <v>6</v>
      </c>
      <c r="B38" s="5"/>
      <c r="C38" s="5"/>
      <c r="D38" s="11"/>
      <c r="E38" s="5"/>
      <c r="F38" s="7"/>
      <c r="G38" s="7"/>
      <c r="H38" s="7"/>
    </row>
    <row r="39" spans="1:8" ht="15.75" customHeight="1">
      <c r="A39" s="4">
        <v>7</v>
      </c>
      <c r="B39" s="5"/>
      <c r="C39" s="5"/>
      <c r="D39" s="11"/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 t="e">
        <f t="shared" ref="B58:C58" si="4">AVERAGE(B33:B57)</f>
        <v>#DIV/0!</v>
      </c>
      <c r="C58" s="5" t="e">
        <f t="shared" si="4"/>
        <v>#DIV/0!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0</v>
      </c>
      <c r="C59" s="5">
        <f t="shared" si="5"/>
        <v>0</v>
      </c>
      <c r="D59" s="11">
        <f t="shared" si="5"/>
        <v>0</v>
      </c>
      <c r="E59" s="7"/>
      <c r="F59" s="7"/>
      <c r="G59" s="7"/>
      <c r="H59" s="7"/>
    </row>
    <row r="60" spans="1:8" ht="14">
      <c r="A60" s="4" t="s">
        <v>12</v>
      </c>
      <c r="B60" s="5" t="e">
        <f t="shared" ref="B60:D60" si="6">MAX(B34:B58)</f>
        <v>#DIV/0!</v>
      </c>
      <c r="C60" s="5" t="e">
        <f t="shared" si="6"/>
        <v>#DIV/0!</v>
      </c>
      <c r="D60" s="11">
        <f t="shared" si="6"/>
        <v>0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H1006"/>
  <sheetViews>
    <sheetView workbookViewId="0"/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5"/>
      <c r="C2" s="5"/>
      <c r="D2" s="6" t="e">
        <f t="shared" ref="D2:D26" si="0">B2/C2</f>
        <v>#DIV/0!</v>
      </c>
      <c r="E2" s="7"/>
      <c r="F2" s="7"/>
      <c r="G2" s="7"/>
      <c r="H2" s="7"/>
    </row>
    <row r="3" spans="1:8" ht="15.75" customHeight="1">
      <c r="A3" s="4">
        <v>2</v>
      </c>
      <c r="B3" s="5"/>
      <c r="C3" s="5"/>
      <c r="D3" s="6" t="e">
        <f t="shared" si="0"/>
        <v>#DIV/0!</v>
      </c>
      <c r="E3" s="7"/>
      <c r="F3" s="7"/>
      <c r="G3" s="7"/>
      <c r="H3" s="7"/>
    </row>
    <row r="4" spans="1:8" ht="15.75" customHeight="1">
      <c r="A4" s="4">
        <v>3</v>
      </c>
      <c r="B4" s="5"/>
      <c r="C4" s="5"/>
      <c r="D4" s="6" t="e">
        <f t="shared" si="0"/>
        <v>#DIV/0!</v>
      </c>
      <c r="E4" s="7"/>
      <c r="F4" s="7"/>
      <c r="G4" s="7"/>
      <c r="H4" s="7"/>
    </row>
    <row r="5" spans="1:8" ht="15.75" customHeight="1">
      <c r="A5" s="4">
        <v>4</v>
      </c>
      <c r="B5" s="5"/>
      <c r="C5" s="5"/>
      <c r="D5" s="6" t="e">
        <f t="shared" si="0"/>
        <v>#DIV/0!</v>
      </c>
      <c r="E5" s="7"/>
      <c r="F5" s="7"/>
      <c r="G5" s="7"/>
      <c r="H5" s="7"/>
    </row>
    <row r="6" spans="1:8" ht="15.75" customHeight="1">
      <c r="A6" s="4">
        <v>5</v>
      </c>
      <c r="B6" s="5"/>
      <c r="C6" s="5"/>
      <c r="D6" s="6" t="e">
        <f t="shared" si="0"/>
        <v>#DIV/0!</v>
      </c>
      <c r="E6" s="7"/>
      <c r="F6" s="7"/>
      <c r="G6" s="7"/>
      <c r="H6" s="7"/>
    </row>
    <row r="7" spans="1:8" ht="15.75" customHeight="1">
      <c r="A7" s="4">
        <v>6</v>
      </c>
      <c r="B7" s="5"/>
      <c r="C7" s="5"/>
      <c r="D7" s="6" t="e">
        <f t="shared" si="0"/>
        <v>#DIV/0!</v>
      </c>
      <c r="E7" s="7"/>
      <c r="F7" s="7"/>
      <c r="G7" s="7"/>
      <c r="H7" s="7"/>
    </row>
    <row r="8" spans="1:8" ht="15.75" customHeight="1">
      <c r="A8" s="4">
        <v>7</v>
      </c>
      <c r="B8" s="5"/>
      <c r="C8" s="5"/>
      <c r="D8" s="6" t="e">
        <f t="shared" si="0"/>
        <v>#DIV/0!</v>
      </c>
      <c r="E8" s="7"/>
      <c r="F8" s="7"/>
      <c r="G8" s="7"/>
      <c r="H8" s="7"/>
    </row>
    <row r="9" spans="1:8" ht="15.75" customHeight="1">
      <c r="A9" s="4">
        <v>8</v>
      </c>
      <c r="B9" s="5"/>
      <c r="C9" s="5"/>
      <c r="D9" s="6" t="e">
        <f t="shared" si="0"/>
        <v>#DIV/0!</v>
      </c>
      <c r="E9" s="7"/>
      <c r="F9" s="7"/>
      <c r="G9" s="7"/>
      <c r="H9" s="7"/>
    </row>
    <row r="10" spans="1:8" ht="15.75" customHeight="1">
      <c r="A10" s="4">
        <v>9</v>
      </c>
      <c r="B10" s="5"/>
      <c r="C10" s="5"/>
      <c r="D10" s="6" t="e">
        <f t="shared" si="0"/>
        <v>#DIV/0!</v>
      </c>
      <c r="E10" s="7"/>
      <c r="F10" s="7"/>
      <c r="G10" s="7"/>
      <c r="H10" s="7"/>
    </row>
    <row r="11" spans="1:8" ht="15.75" customHeight="1">
      <c r="A11" s="4">
        <v>10</v>
      </c>
      <c r="B11" s="5"/>
      <c r="C11" s="5"/>
      <c r="D11" s="6" t="e">
        <f t="shared" si="0"/>
        <v>#DIV/0!</v>
      </c>
      <c r="E11" s="7"/>
      <c r="F11" s="7"/>
      <c r="G11" s="7"/>
      <c r="H11" s="7"/>
    </row>
    <row r="12" spans="1:8" ht="15.75" customHeight="1">
      <c r="A12" s="8">
        <v>11</v>
      </c>
      <c r="B12" s="5"/>
      <c r="C12" s="5"/>
      <c r="D12" s="6" t="e">
        <f t="shared" si="0"/>
        <v>#DIV/0!</v>
      </c>
      <c r="E12" s="7"/>
      <c r="F12" s="7"/>
      <c r="G12" s="7"/>
      <c r="H12" s="7"/>
    </row>
    <row r="13" spans="1:8" ht="15.75" customHeight="1">
      <c r="A13" s="8">
        <v>12</v>
      </c>
      <c r="B13" s="5"/>
      <c r="C13" s="5"/>
      <c r="D13" s="6" t="e">
        <f t="shared" si="0"/>
        <v>#DIV/0!</v>
      </c>
      <c r="E13" s="7"/>
      <c r="F13" s="7"/>
      <c r="G13" s="7"/>
      <c r="H13" s="7"/>
    </row>
    <row r="14" spans="1:8" ht="15.75" customHeight="1">
      <c r="A14" s="8">
        <v>13</v>
      </c>
      <c r="B14" s="5"/>
      <c r="C14" s="5"/>
      <c r="D14" s="6" t="e">
        <f t="shared" si="0"/>
        <v>#DIV/0!</v>
      </c>
      <c r="E14" s="7"/>
      <c r="F14" s="7"/>
      <c r="G14" s="7"/>
      <c r="H14" s="7"/>
    </row>
    <row r="15" spans="1:8" ht="15.75" customHeight="1">
      <c r="A15" s="8">
        <v>14</v>
      </c>
      <c r="B15" s="5"/>
      <c r="C15" s="5"/>
      <c r="D15" s="6" t="e">
        <f t="shared" si="0"/>
        <v>#DIV/0!</v>
      </c>
      <c r="E15" s="7"/>
      <c r="F15" s="7"/>
      <c r="G15" s="7"/>
      <c r="H15" s="7"/>
    </row>
    <row r="16" spans="1:8" ht="15.75" customHeight="1">
      <c r="A16" s="8">
        <v>15</v>
      </c>
      <c r="B16" s="5"/>
      <c r="C16" s="5"/>
      <c r="D16" s="6" t="e">
        <f t="shared" si="0"/>
        <v>#DIV/0!</v>
      </c>
      <c r="E16" s="7"/>
      <c r="F16" s="7"/>
      <c r="G16" s="7"/>
      <c r="H16" s="7"/>
    </row>
    <row r="17" spans="1:8" ht="15.75" customHeight="1">
      <c r="A17" s="8">
        <v>16</v>
      </c>
      <c r="B17" s="5"/>
      <c r="C17" s="5"/>
      <c r="D17" s="6" t="e">
        <f t="shared" si="0"/>
        <v>#DIV/0!</v>
      </c>
      <c r="E17" s="7"/>
      <c r="F17" s="7"/>
      <c r="G17" s="7"/>
      <c r="H17" s="7"/>
    </row>
    <row r="18" spans="1:8" ht="15.75" customHeight="1">
      <c r="A18" s="8">
        <v>17</v>
      </c>
      <c r="B18" s="5"/>
      <c r="C18" s="5"/>
      <c r="D18" s="6" t="e">
        <f t="shared" si="0"/>
        <v>#DIV/0!</v>
      </c>
      <c r="E18" s="7"/>
      <c r="F18" s="7"/>
      <c r="G18" s="7"/>
      <c r="H18" s="7"/>
    </row>
    <row r="19" spans="1:8" ht="15.75" customHeight="1">
      <c r="A19" s="8">
        <v>18</v>
      </c>
      <c r="B19" s="5"/>
      <c r="C19" s="5"/>
      <c r="D19" s="6" t="e">
        <f t="shared" si="0"/>
        <v>#DIV/0!</v>
      </c>
      <c r="E19" s="7"/>
      <c r="F19" s="7"/>
      <c r="G19" s="7"/>
      <c r="H19" s="7"/>
    </row>
    <row r="20" spans="1:8" ht="15.75" customHeight="1">
      <c r="A20" s="8">
        <v>19</v>
      </c>
      <c r="B20" s="5"/>
      <c r="C20" s="5"/>
      <c r="D20" s="6" t="e">
        <f t="shared" si="0"/>
        <v>#DIV/0!</v>
      </c>
      <c r="E20" s="7"/>
      <c r="F20" s="7"/>
      <c r="G20" s="7"/>
      <c r="H20" s="7"/>
    </row>
    <row r="21" spans="1:8" ht="15.75" customHeight="1">
      <c r="A21" s="8">
        <v>20</v>
      </c>
      <c r="B21" s="5"/>
      <c r="C21" s="5"/>
      <c r="D21" s="6" t="e">
        <f t="shared" si="0"/>
        <v>#DIV/0!</v>
      </c>
      <c r="E21" s="7"/>
      <c r="F21" s="7"/>
      <c r="G21" s="7"/>
      <c r="H21" s="7"/>
    </row>
    <row r="22" spans="1:8" ht="15.75" customHeight="1">
      <c r="A22" s="8">
        <v>21</v>
      </c>
      <c r="B22" s="5"/>
      <c r="C22" s="5"/>
      <c r="D22" s="6" t="e">
        <f t="shared" si="0"/>
        <v>#DIV/0!</v>
      </c>
      <c r="E22" s="7"/>
      <c r="F22" s="7"/>
      <c r="G22" s="7"/>
      <c r="H22" s="7"/>
    </row>
    <row r="23" spans="1:8" ht="15.75" customHeight="1">
      <c r="A23" s="8">
        <v>22</v>
      </c>
      <c r="B23" s="5"/>
      <c r="C23" s="5"/>
      <c r="D23" s="6" t="e">
        <f t="shared" si="0"/>
        <v>#DIV/0!</v>
      </c>
      <c r="E23" s="7"/>
      <c r="F23" s="7"/>
      <c r="G23" s="7"/>
      <c r="H23" s="7"/>
    </row>
    <row r="24" spans="1:8" ht="15.75" customHeight="1">
      <c r="A24" s="8">
        <v>23</v>
      </c>
      <c r="B24" s="5"/>
      <c r="C24" s="5"/>
      <c r="D24" s="6" t="e">
        <f t="shared" si="0"/>
        <v>#DIV/0!</v>
      </c>
      <c r="E24" s="7"/>
      <c r="F24" s="7"/>
      <c r="G24" s="7"/>
      <c r="H24" s="7"/>
    </row>
    <row r="25" spans="1:8" ht="15.75" customHeight="1">
      <c r="A25" s="8">
        <v>24</v>
      </c>
      <c r="B25" s="5"/>
      <c r="C25" s="5"/>
      <c r="D25" s="6" t="e">
        <f t="shared" si="0"/>
        <v>#DIV/0!</v>
      </c>
      <c r="E25" s="7"/>
      <c r="F25" s="7"/>
      <c r="G25" s="7"/>
      <c r="H25" s="7"/>
    </row>
    <row r="26" spans="1:8" ht="15.75" customHeight="1">
      <c r="A26" s="8">
        <v>25</v>
      </c>
      <c r="B26" s="5"/>
      <c r="C26" s="5"/>
      <c r="D26" s="6" t="e">
        <f t="shared" si="0"/>
        <v>#DIV/0!</v>
      </c>
      <c r="E26" s="7"/>
      <c r="F26" s="7"/>
      <c r="G26" s="7"/>
      <c r="H26" s="7"/>
    </row>
    <row r="27" spans="1:8" ht="15.75" customHeight="1">
      <c r="A27" s="4" t="s">
        <v>10</v>
      </c>
      <c r="B27" s="5" t="e">
        <f t="shared" ref="B27:D27" si="1">AVERAGE(B2:B26)</f>
        <v>#DIV/0!</v>
      </c>
      <c r="C27" s="5" t="e">
        <f t="shared" si="1"/>
        <v>#DIV/0!</v>
      </c>
      <c r="D27" s="9" t="e">
        <f t="shared" si="1"/>
        <v>#DIV/0!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0</v>
      </c>
      <c r="C28" s="5">
        <f t="shared" si="2"/>
        <v>0</v>
      </c>
      <c r="D28" s="9" t="e">
        <f t="shared" si="2"/>
        <v>#DIV/0!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0</v>
      </c>
      <c r="C29" s="5">
        <f t="shared" si="3"/>
        <v>0</v>
      </c>
      <c r="D29" s="9" t="e">
        <f t="shared" si="3"/>
        <v>#DIV/0!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5"/>
      <c r="C33" s="5"/>
      <c r="D33" s="11"/>
      <c r="E33" s="5"/>
      <c r="F33" s="7"/>
      <c r="G33" s="7"/>
      <c r="H33" s="7"/>
    </row>
    <row r="34" spans="1:8" ht="15.75" customHeight="1">
      <c r="A34" s="4">
        <v>2</v>
      </c>
      <c r="B34" s="5"/>
      <c r="C34" s="5"/>
      <c r="D34" s="11"/>
      <c r="E34" s="5"/>
      <c r="F34" s="7"/>
      <c r="G34" s="7"/>
      <c r="H34" s="7"/>
    </row>
    <row r="35" spans="1:8" ht="15.75" customHeight="1">
      <c r="A35" s="4">
        <v>3</v>
      </c>
      <c r="B35" s="5"/>
      <c r="C35" s="5"/>
      <c r="D35" s="11"/>
      <c r="E35" s="7"/>
      <c r="F35" s="7"/>
      <c r="G35" s="7"/>
      <c r="H35" s="7"/>
    </row>
    <row r="36" spans="1:8" ht="15.75" customHeight="1">
      <c r="A36" s="4">
        <v>4</v>
      </c>
      <c r="B36" s="5"/>
      <c r="C36" s="5"/>
      <c r="D36" s="11"/>
      <c r="E36" s="5"/>
      <c r="F36" s="7"/>
      <c r="G36" s="7"/>
      <c r="H36" s="7"/>
    </row>
    <row r="37" spans="1:8" ht="15.75" customHeight="1">
      <c r="A37" s="4">
        <v>5</v>
      </c>
      <c r="B37" s="5"/>
      <c r="C37" s="5"/>
      <c r="D37" s="11"/>
      <c r="E37" s="5"/>
      <c r="F37" s="7"/>
      <c r="G37" s="7"/>
      <c r="H37" s="7"/>
    </row>
    <row r="38" spans="1:8" ht="15.75" customHeight="1">
      <c r="A38" s="4">
        <v>6</v>
      </c>
      <c r="B38" s="5"/>
      <c r="C38" s="5"/>
      <c r="D38" s="11"/>
      <c r="E38" s="5"/>
      <c r="F38" s="7"/>
      <c r="G38" s="7"/>
      <c r="H38" s="7"/>
    </row>
    <row r="39" spans="1:8" ht="15.75" customHeight="1">
      <c r="A39" s="4">
        <v>7</v>
      </c>
      <c r="B39" s="5"/>
      <c r="C39" s="5"/>
      <c r="D39" s="11"/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 t="e">
        <f t="shared" ref="B58:C58" si="4">AVERAGE(B33:B57)</f>
        <v>#DIV/0!</v>
      </c>
      <c r="C58" s="5" t="e">
        <f t="shared" si="4"/>
        <v>#DIV/0!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0</v>
      </c>
      <c r="C59" s="5">
        <f t="shared" si="5"/>
        <v>0</v>
      </c>
      <c r="D59" s="11">
        <f t="shared" si="5"/>
        <v>0</v>
      </c>
      <c r="E59" s="7"/>
      <c r="F59" s="7"/>
      <c r="G59" s="7"/>
      <c r="H59" s="7"/>
    </row>
    <row r="60" spans="1:8" ht="14">
      <c r="A60" s="4" t="s">
        <v>12</v>
      </c>
      <c r="B60" s="5" t="e">
        <f t="shared" ref="B60:D60" si="6">MAX(B34:B58)</f>
        <v>#DIV/0!</v>
      </c>
      <c r="C60" s="5" t="e">
        <f t="shared" si="6"/>
        <v>#DIV/0!</v>
      </c>
      <c r="D60" s="11">
        <f t="shared" si="6"/>
        <v>0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I1006"/>
  <sheetViews>
    <sheetView workbookViewId="0"/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11</v>
      </c>
      <c r="C2" s="17">
        <v>10.5</v>
      </c>
      <c r="D2" s="6">
        <f t="shared" ref="D2:D26" si="0">B2/C2</f>
        <v>1.0476190476190477</v>
      </c>
      <c r="E2" s="14" t="s">
        <v>29</v>
      </c>
      <c r="F2" s="14" t="s">
        <v>30</v>
      </c>
      <c r="G2" s="14" t="s">
        <v>138</v>
      </c>
      <c r="H2" s="7"/>
    </row>
    <row r="3" spans="1:8" ht="15.75" customHeight="1">
      <c r="A3" s="4">
        <v>2</v>
      </c>
      <c r="B3" s="17">
        <v>11.5</v>
      </c>
      <c r="C3" s="17">
        <v>10</v>
      </c>
      <c r="D3" s="6">
        <f t="shared" si="0"/>
        <v>1.1499999999999999</v>
      </c>
      <c r="E3" s="7"/>
      <c r="F3" s="7"/>
      <c r="G3" s="7"/>
      <c r="H3" s="7"/>
    </row>
    <row r="4" spans="1:8" ht="15.75" customHeight="1">
      <c r="A4" s="4">
        <v>3</v>
      </c>
      <c r="B4" s="17">
        <v>11.5</v>
      </c>
      <c r="C4" s="17">
        <v>10</v>
      </c>
      <c r="D4" s="6">
        <f t="shared" si="0"/>
        <v>1.1499999999999999</v>
      </c>
      <c r="E4" s="7"/>
      <c r="F4" s="7"/>
      <c r="G4" s="7"/>
      <c r="H4" s="7"/>
    </row>
    <row r="5" spans="1:8" ht="15.75" customHeight="1">
      <c r="A5" s="4">
        <v>4</v>
      </c>
      <c r="B5" s="17">
        <v>9.5</v>
      </c>
      <c r="C5" s="17">
        <v>8.5</v>
      </c>
      <c r="D5" s="6">
        <f t="shared" si="0"/>
        <v>1.1176470588235294</v>
      </c>
      <c r="E5" s="7"/>
      <c r="F5" s="7"/>
      <c r="G5" s="7"/>
      <c r="H5" s="7"/>
    </row>
    <row r="6" spans="1:8" ht="15.75" customHeight="1">
      <c r="A6" s="4">
        <v>5</v>
      </c>
      <c r="B6" s="17">
        <v>10.5</v>
      </c>
      <c r="C6" s="17">
        <v>10.5</v>
      </c>
      <c r="D6" s="6">
        <f t="shared" si="0"/>
        <v>1</v>
      </c>
      <c r="E6" s="7"/>
      <c r="F6" s="7"/>
      <c r="G6" s="7"/>
      <c r="H6" s="7"/>
    </row>
    <row r="7" spans="1:8" ht="15.75" customHeight="1">
      <c r="A7" s="4">
        <v>6</v>
      </c>
      <c r="B7" s="17">
        <v>11</v>
      </c>
      <c r="C7" s="17">
        <v>10</v>
      </c>
      <c r="D7" s="6">
        <f t="shared" si="0"/>
        <v>1.1000000000000001</v>
      </c>
      <c r="E7" s="7"/>
      <c r="F7" s="7"/>
      <c r="G7" s="7"/>
      <c r="H7" s="7"/>
    </row>
    <row r="8" spans="1:8" ht="15.75" customHeight="1">
      <c r="A8" s="4">
        <v>7</v>
      </c>
      <c r="B8" s="17">
        <v>10.5</v>
      </c>
      <c r="C8" s="17">
        <v>10</v>
      </c>
      <c r="D8" s="6">
        <f t="shared" si="0"/>
        <v>1.05</v>
      </c>
      <c r="E8" s="7"/>
      <c r="F8" s="7"/>
      <c r="G8" s="7"/>
      <c r="H8" s="7"/>
    </row>
    <row r="9" spans="1:8" ht="15.75" customHeight="1">
      <c r="A9" s="4">
        <v>8</v>
      </c>
      <c r="B9" s="17">
        <v>10.5</v>
      </c>
      <c r="C9" s="17">
        <v>10</v>
      </c>
      <c r="D9" s="6">
        <f t="shared" si="0"/>
        <v>1.05</v>
      </c>
      <c r="E9" s="7"/>
      <c r="F9" s="7"/>
      <c r="G9" s="7"/>
      <c r="H9" s="7"/>
    </row>
    <row r="10" spans="1:8" ht="15.75" customHeight="1">
      <c r="A10" s="4">
        <v>9</v>
      </c>
      <c r="B10" s="17">
        <v>9.5</v>
      </c>
      <c r="C10" s="17">
        <v>9</v>
      </c>
      <c r="D10" s="6">
        <f t="shared" si="0"/>
        <v>1.0555555555555556</v>
      </c>
      <c r="E10" s="7"/>
      <c r="F10" s="7"/>
      <c r="G10" s="7"/>
      <c r="H10" s="7"/>
    </row>
    <row r="11" spans="1:8" ht="15.75" customHeight="1">
      <c r="A11" s="4">
        <v>10</v>
      </c>
      <c r="B11" s="17">
        <v>11</v>
      </c>
      <c r="C11" s="17">
        <v>9.5</v>
      </c>
      <c r="D11" s="6">
        <f t="shared" si="0"/>
        <v>1.1578947368421053</v>
      </c>
      <c r="E11" s="7"/>
      <c r="F11" s="7"/>
      <c r="G11" s="7"/>
      <c r="H11" s="7"/>
    </row>
    <row r="12" spans="1:8" ht="15.75" customHeight="1">
      <c r="A12" s="8">
        <v>11</v>
      </c>
      <c r="B12" s="17">
        <v>11</v>
      </c>
      <c r="C12" s="17">
        <v>10</v>
      </c>
      <c r="D12" s="6">
        <f t="shared" si="0"/>
        <v>1.1000000000000001</v>
      </c>
      <c r="E12" s="7"/>
      <c r="F12" s="7"/>
      <c r="G12" s="7"/>
      <c r="H12" s="7"/>
    </row>
    <row r="13" spans="1:8" ht="15.75" customHeight="1">
      <c r="A13" s="8">
        <v>12</v>
      </c>
      <c r="B13" s="17">
        <v>10</v>
      </c>
      <c r="C13" s="17">
        <v>10</v>
      </c>
      <c r="D13" s="6">
        <f t="shared" si="0"/>
        <v>1</v>
      </c>
      <c r="E13" s="7"/>
      <c r="F13" s="7"/>
      <c r="G13" s="7"/>
      <c r="H13" s="7"/>
    </row>
    <row r="14" spans="1:8" ht="15.75" customHeight="1">
      <c r="A14" s="8">
        <v>13</v>
      </c>
      <c r="B14" s="17">
        <v>12</v>
      </c>
      <c r="C14" s="17">
        <v>10.5</v>
      </c>
      <c r="D14" s="6">
        <f t="shared" si="0"/>
        <v>1.1428571428571428</v>
      </c>
      <c r="E14" s="7"/>
      <c r="F14" s="7"/>
      <c r="G14" s="7"/>
      <c r="H14" s="7"/>
    </row>
    <row r="15" spans="1:8" ht="15.75" customHeight="1">
      <c r="A15" s="8">
        <v>14</v>
      </c>
      <c r="B15" s="17">
        <v>11</v>
      </c>
      <c r="C15" s="17">
        <v>10.5</v>
      </c>
      <c r="D15" s="6">
        <f t="shared" si="0"/>
        <v>1.0476190476190477</v>
      </c>
      <c r="E15" s="7"/>
      <c r="F15" s="7"/>
      <c r="G15" s="7"/>
      <c r="H15" s="7"/>
    </row>
    <row r="16" spans="1:8" ht="15.75" customHeight="1">
      <c r="A16" s="8">
        <v>15</v>
      </c>
      <c r="B16" s="17">
        <v>11</v>
      </c>
      <c r="C16" s="17">
        <v>10</v>
      </c>
      <c r="D16" s="6">
        <f t="shared" si="0"/>
        <v>1.1000000000000001</v>
      </c>
      <c r="E16" s="7"/>
      <c r="F16" s="7"/>
      <c r="G16" s="7"/>
      <c r="H16" s="7"/>
    </row>
    <row r="17" spans="1:8" ht="15.75" customHeight="1">
      <c r="A17" s="8">
        <v>16</v>
      </c>
      <c r="B17" s="17">
        <v>11</v>
      </c>
      <c r="C17" s="17">
        <v>10</v>
      </c>
      <c r="D17" s="6">
        <f t="shared" si="0"/>
        <v>1.1000000000000001</v>
      </c>
      <c r="E17" s="7"/>
      <c r="F17" s="7"/>
      <c r="G17" s="7"/>
      <c r="H17" s="7"/>
    </row>
    <row r="18" spans="1:8" ht="15.75" customHeight="1">
      <c r="A18" s="8">
        <v>17</v>
      </c>
      <c r="B18" s="17">
        <v>9.5</v>
      </c>
      <c r="C18" s="17">
        <v>8.5</v>
      </c>
      <c r="D18" s="6">
        <f t="shared" si="0"/>
        <v>1.1176470588235294</v>
      </c>
      <c r="E18" s="7"/>
      <c r="F18" s="7"/>
      <c r="G18" s="7"/>
      <c r="H18" s="7"/>
    </row>
    <row r="19" spans="1:8" ht="15.75" customHeight="1">
      <c r="A19" s="8">
        <v>18</v>
      </c>
      <c r="B19" s="17">
        <v>10.5</v>
      </c>
      <c r="C19" s="17">
        <v>9</v>
      </c>
      <c r="D19" s="6">
        <f t="shared" si="0"/>
        <v>1.1666666666666667</v>
      </c>
      <c r="E19" s="7"/>
      <c r="F19" s="7"/>
      <c r="G19" s="7"/>
      <c r="H19" s="7"/>
    </row>
    <row r="20" spans="1:8" ht="15.75" customHeight="1">
      <c r="A20" s="8">
        <v>19</v>
      </c>
      <c r="B20" s="17">
        <v>10</v>
      </c>
      <c r="C20" s="17">
        <v>10</v>
      </c>
      <c r="D20" s="6">
        <f t="shared" si="0"/>
        <v>1</v>
      </c>
      <c r="E20" s="7"/>
      <c r="F20" s="7"/>
      <c r="G20" s="7"/>
      <c r="H20" s="7"/>
    </row>
    <row r="21" spans="1:8" ht="15.75" customHeight="1">
      <c r="A21" s="8">
        <v>20</v>
      </c>
      <c r="B21" s="17">
        <v>10</v>
      </c>
      <c r="C21" s="17">
        <v>10</v>
      </c>
      <c r="D21" s="6">
        <f t="shared" si="0"/>
        <v>1</v>
      </c>
      <c r="E21" s="7"/>
      <c r="F21" s="7"/>
      <c r="G21" s="7"/>
      <c r="H21" s="7"/>
    </row>
    <row r="22" spans="1:8" ht="15.75" customHeight="1">
      <c r="A22" s="8">
        <v>21</v>
      </c>
      <c r="B22" s="17">
        <v>10</v>
      </c>
      <c r="C22" s="17">
        <v>9.5</v>
      </c>
      <c r="D22" s="6">
        <f t="shared" si="0"/>
        <v>1.0526315789473684</v>
      </c>
      <c r="E22" s="7"/>
      <c r="F22" s="7"/>
      <c r="G22" s="7"/>
      <c r="H22" s="7"/>
    </row>
    <row r="23" spans="1:8" ht="15.75" customHeight="1">
      <c r="A23" s="8">
        <v>22</v>
      </c>
      <c r="B23" s="17">
        <v>11</v>
      </c>
      <c r="C23" s="17">
        <v>10.5</v>
      </c>
      <c r="D23" s="6">
        <f t="shared" si="0"/>
        <v>1.0476190476190477</v>
      </c>
      <c r="E23" s="14" t="s">
        <v>139</v>
      </c>
      <c r="F23" s="7"/>
      <c r="G23" s="7"/>
      <c r="H23" s="7"/>
    </row>
    <row r="24" spans="1:8" ht="15.75" customHeight="1">
      <c r="A24" s="8">
        <v>23</v>
      </c>
      <c r="B24" s="17">
        <v>10.5</v>
      </c>
      <c r="C24" s="17">
        <v>9.5</v>
      </c>
      <c r="D24" s="6">
        <f t="shared" si="0"/>
        <v>1.1052631578947369</v>
      </c>
      <c r="E24" s="7"/>
      <c r="F24" s="7"/>
      <c r="G24" s="7"/>
      <c r="H24" s="7"/>
    </row>
    <row r="25" spans="1:8" ht="15.75" customHeight="1">
      <c r="A25" s="8">
        <v>24</v>
      </c>
      <c r="B25" s="17">
        <v>11</v>
      </c>
      <c r="C25" s="17">
        <v>11</v>
      </c>
      <c r="D25" s="6">
        <f t="shared" si="0"/>
        <v>1</v>
      </c>
      <c r="E25" s="7"/>
      <c r="F25" s="7"/>
      <c r="G25" s="7"/>
      <c r="H25" s="7"/>
    </row>
    <row r="26" spans="1:8" ht="15.75" customHeight="1">
      <c r="A26" s="8">
        <v>25</v>
      </c>
      <c r="B26" s="17">
        <v>11</v>
      </c>
      <c r="C26" s="17">
        <v>10</v>
      </c>
      <c r="D26" s="6">
        <f t="shared" si="0"/>
        <v>1.1000000000000001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10.64</v>
      </c>
      <c r="C27" s="5">
        <f t="shared" si="1"/>
        <v>9.8800000000000008</v>
      </c>
      <c r="D27" s="9">
        <f t="shared" si="1"/>
        <v>1.0783608039707111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9.5</v>
      </c>
      <c r="C28" s="5">
        <f t="shared" si="2"/>
        <v>8.5</v>
      </c>
      <c r="D28" s="9">
        <f t="shared" si="2"/>
        <v>1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12</v>
      </c>
      <c r="C29" s="5">
        <f t="shared" si="3"/>
        <v>11</v>
      </c>
      <c r="D29" s="9">
        <f t="shared" si="3"/>
        <v>1.1666666666666667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9" ht="15.75" customHeight="1">
      <c r="A33" s="4">
        <v>1</v>
      </c>
      <c r="B33" s="17">
        <v>51</v>
      </c>
      <c r="C33" s="17">
        <v>14</v>
      </c>
      <c r="D33" s="13">
        <v>4</v>
      </c>
      <c r="E33" s="17">
        <v>7</v>
      </c>
      <c r="F33" s="7"/>
      <c r="G33" s="14"/>
      <c r="H33" s="7"/>
    </row>
    <row r="34" spans="1:9" ht="15.75" customHeight="1">
      <c r="A34" s="4">
        <v>2</v>
      </c>
      <c r="B34" s="17">
        <v>58</v>
      </c>
      <c r="C34" s="17">
        <v>15.5</v>
      </c>
      <c r="D34" s="13">
        <v>4</v>
      </c>
      <c r="E34" s="17">
        <v>8</v>
      </c>
      <c r="F34" s="7"/>
      <c r="G34" s="7"/>
      <c r="H34" s="7"/>
    </row>
    <row r="35" spans="1:9" ht="15.75" customHeight="1">
      <c r="A35" s="4">
        <v>3</v>
      </c>
      <c r="B35" s="17">
        <v>52</v>
      </c>
      <c r="C35" s="17">
        <v>15</v>
      </c>
      <c r="D35" s="13">
        <v>4</v>
      </c>
      <c r="E35" s="14">
        <v>7</v>
      </c>
      <c r="F35" s="7"/>
      <c r="G35" s="7"/>
      <c r="H35" s="7"/>
    </row>
    <row r="36" spans="1:9" ht="15.75" customHeight="1">
      <c r="A36" s="4">
        <v>4</v>
      </c>
      <c r="B36" s="17">
        <v>54.5</v>
      </c>
      <c r="C36" s="17">
        <v>25</v>
      </c>
      <c r="D36" s="13">
        <v>4</v>
      </c>
      <c r="E36" s="17">
        <v>4</v>
      </c>
      <c r="F36" s="7"/>
      <c r="G36" s="7"/>
      <c r="H36" s="7"/>
      <c r="I36" s="26" t="s">
        <v>140</v>
      </c>
    </row>
    <row r="37" spans="1:9" ht="15.75" customHeight="1">
      <c r="A37" s="4">
        <v>5</v>
      </c>
      <c r="B37" s="17">
        <v>49</v>
      </c>
      <c r="C37" s="17">
        <v>14</v>
      </c>
      <c r="D37" s="13">
        <v>4</v>
      </c>
      <c r="E37" s="17">
        <v>4</v>
      </c>
      <c r="F37" s="7"/>
      <c r="G37" s="7"/>
      <c r="H37" s="7"/>
      <c r="I37" s="24"/>
    </row>
    <row r="38" spans="1:9" ht="15.75" customHeight="1">
      <c r="A38" s="4">
        <v>6</v>
      </c>
      <c r="B38" s="17">
        <v>56</v>
      </c>
      <c r="C38" s="17">
        <v>14</v>
      </c>
      <c r="D38" s="13">
        <v>4</v>
      </c>
      <c r="E38" s="17">
        <v>5</v>
      </c>
      <c r="F38" s="7"/>
      <c r="G38" s="7"/>
      <c r="H38" s="7"/>
      <c r="I38" s="24"/>
    </row>
    <row r="39" spans="1:9" ht="15.75" customHeight="1">
      <c r="A39" s="4">
        <v>7</v>
      </c>
      <c r="B39" s="17">
        <v>52</v>
      </c>
      <c r="C39" s="17">
        <v>13</v>
      </c>
      <c r="D39" s="13">
        <v>4</v>
      </c>
      <c r="E39" s="17">
        <v>5</v>
      </c>
      <c r="F39" s="7"/>
      <c r="G39" s="7"/>
      <c r="H39" s="7"/>
    </row>
    <row r="40" spans="1:9" ht="15.75" customHeight="1">
      <c r="A40" s="4">
        <v>8</v>
      </c>
      <c r="B40" s="17">
        <v>69</v>
      </c>
      <c r="C40" s="17">
        <v>15.5</v>
      </c>
      <c r="D40" s="13">
        <v>4</v>
      </c>
      <c r="E40" s="17">
        <v>6.5</v>
      </c>
      <c r="F40" s="14" t="s">
        <v>141</v>
      </c>
      <c r="G40" s="7"/>
      <c r="H40" s="7"/>
    </row>
    <row r="41" spans="1:9" ht="15.75" customHeight="1">
      <c r="A41" s="4">
        <v>9</v>
      </c>
      <c r="B41" s="17">
        <v>63</v>
      </c>
      <c r="C41" s="17">
        <v>12</v>
      </c>
      <c r="D41" s="13">
        <v>4</v>
      </c>
      <c r="E41" s="17">
        <v>6</v>
      </c>
      <c r="F41" s="7"/>
      <c r="G41" s="7"/>
      <c r="H41" s="7"/>
    </row>
    <row r="42" spans="1:9" ht="15.75" customHeight="1">
      <c r="A42" s="4">
        <v>10</v>
      </c>
      <c r="B42" s="17">
        <v>60</v>
      </c>
      <c r="C42" s="17">
        <v>13</v>
      </c>
      <c r="D42" s="13">
        <v>4</v>
      </c>
      <c r="E42" s="17">
        <v>7</v>
      </c>
      <c r="F42" s="7"/>
      <c r="G42" s="7"/>
      <c r="H42" s="7"/>
    </row>
    <row r="43" spans="1:9" ht="15.75" customHeight="1">
      <c r="A43" s="8">
        <v>11</v>
      </c>
      <c r="B43" s="17">
        <v>61</v>
      </c>
      <c r="C43" s="17">
        <v>14</v>
      </c>
      <c r="D43" s="13">
        <v>4</v>
      </c>
      <c r="E43" s="17">
        <v>5</v>
      </c>
      <c r="F43" s="7"/>
      <c r="G43" s="14" t="s">
        <v>142</v>
      </c>
      <c r="H43" s="7"/>
    </row>
    <row r="44" spans="1:9" ht="15.75" customHeight="1">
      <c r="A44" s="8">
        <v>12</v>
      </c>
      <c r="D44" s="12">
        <v>4</v>
      </c>
      <c r="F44" s="7"/>
      <c r="G44" s="7"/>
      <c r="H44" s="7"/>
    </row>
    <row r="45" spans="1:9" ht="15.75" customHeight="1">
      <c r="A45" s="8">
        <v>13</v>
      </c>
      <c r="D45" s="12">
        <v>4</v>
      </c>
      <c r="F45" s="7"/>
      <c r="G45" s="7"/>
      <c r="H45" s="7"/>
    </row>
    <row r="46" spans="1:9" ht="15.75" customHeight="1">
      <c r="A46" s="8">
        <v>14</v>
      </c>
      <c r="D46" s="12">
        <v>4</v>
      </c>
      <c r="F46" s="7"/>
      <c r="G46" s="7"/>
      <c r="H46" s="7"/>
    </row>
    <row r="47" spans="1:9" ht="15.75" customHeight="1">
      <c r="A47" s="8">
        <v>15</v>
      </c>
      <c r="D47" s="12">
        <v>4</v>
      </c>
      <c r="F47" s="7"/>
      <c r="G47" s="7"/>
      <c r="H47" s="7"/>
    </row>
    <row r="48" spans="1:9" ht="15.75" customHeight="1">
      <c r="A48" s="8">
        <v>16</v>
      </c>
      <c r="D48" s="12">
        <v>4</v>
      </c>
      <c r="F48" s="7"/>
      <c r="G48" s="7"/>
      <c r="H48" s="7"/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56.863636363636367</v>
      </c>
      <c r="C58" s="5">
        <f t="shared" si="4"/>
        <v>15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49</v>
      </c>
      <c r="C59" s="5">
        <f t="shared" si="5"/>
        <v>12</v>
      </c>
      <c r="D59" s="11">
        <f t="shared" si="5"/>
        <v>4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69</v>
      </c>
      <c r="C60" s="5">
        <f t="shared" si="6"/>
        <v>25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14">
        <v>100</v>
      </c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11.5</v>
      </c>
      <c r="C65" s="7"/>
      <c r="D65" s="10"/>
      <c r="E65" s="7"/>
      <c r="F65" s="7"/>
      <c r="G65" s="7"/>
      <c r="H65" s="7"/>
    </row>
    <row r="66" spans="1:8" ht="14">
      <c r="A66" s="2"/>
      <c r="B66" s="14">
        <v>8.5</v>
      </c>
      <c r="C66" s="7"/>
      <c r="D66" s="10"/>
      <c r="E66" s="7"/>
      <c r="F66" s="7"/>
      <c r="G66" s="7"/>
      <c r="H66" s="7"/>
    </row>
    <row r="67" spans="1:8" ht="14">
      <c r="A67" s="2"/>
      <c r="B67" s="14">
        <v>9.5</v>
      </c>
      <c r="C67" s="7"/>
      <c r="D67" s="10"/>
      <c r="E67" s="7"/>
      <c r="F67" s="7"/>
      <c r="G67" s="7"/>
      <c r="H67" s="7"/>
    </row>
    <row r="68" spans="1:8" ht="14">
      <c r="A68" s="2"/>
      <c r="B68" s="14">
        <v>5</v>
      </c>
      <c r="C68" s="7"/>
      <c r="D68" s="10"/>
      <c r="E68" s="7"/>
      <c r="F68" s="7"/>
      <c r="G68" s="7"/>
      <c r="H68" s="7"/>
    </row>
    <row r="69" spans="1:8" ht="14">
      <c r="A69" s="2"/>
      <c r="B69" s="14">
        <v>8</v>
      </c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14" t="s">
        <v>72</v>
      </c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143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2">
    <mergeCell ref="I36:I38"/>
    <mergeCell ref="D62:E6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I1006"/>
  <sheetViews>
    <sheetView workbookViewId="0"/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11</v>
      </c>
      <c r="C2" s="17">
        <v>10</v>
      </c>
      <c r="D2" s="6">
        <f t="shared" ref="D2:D26" si="0">B2/C2</f>
        <v>1.1000000000000001</v>
      </c>
      <c r="E2" s="14" t="s">
        <v>29</v>
      </c>
      <c r="F2" s="14" t="s">
        <v>35</v>
      </c>
      <c r="G2" s="14" t="s">
        <v>144</v>
      </c>
      <c r="H2" s="14" t="s">
        <v>145</v>
      </c>
    </row>
    <row r="3" spans="1:9" ht="15.75" customHeight="1">
      <c r="A3" s="4">
        <v>2</v>
      </c>
      <c r="B3" s="17">
        <v>10</v>
      </c>
      <c r="C3" s="17">
        <v>8.5</v>
      </c>
      <c r="D3" s="6">
        <f t="shared" si="0"/>
        <v>1.1764705882352942</v>
      </c>
      <c r="E3" s="7"/>
      <c r="F3" s="7"/>
      <c r="G3" s="7"/>
      <c r="H3" s="7"/>
    </row>
    <row r="4" spans="1:9" ht="15.75" customHeight="1">
      <c r="A4" s="4">
        <v>3</v>
      </c>
      <c r="B4" s="17">
        <v>9</v>
      </c>
      <c r="C4" s="17">
        <v>8.5</v>
      </c>
      <c r="D4" s="6">
        <f t="shared" si="0"/>
        <v>1.0588235294117647</v>
      </c>
      <c r="E4" s="7"/>
      <c r="F4" s="7"/>
      <c r="G4" s="7"/>
      <c r="H4" s="7"/>
    </row>
    <row r="5" spans="1:9" ht="15.75" customHeight="1">
      <c r="A5" s="4">
        <v>4</v>
      </c>
      <c r="B5" s="17">
        <v>11</v>
      </c>
      <c r="C5" s="17">
        <v>9.5</v>
      </c>
      <c r="D5" s="6">
        <f t="shared" si="0"/>
        <v>1.1578947368421053</v>
      </c>
      <c r="E5" s="7"/>
      <c r="F5" s="7"/>
      <c r="G5" s="7"/>
      <c r="H5" s="7"/>
    </row>
    <row r="6" spans="1:9" ht="15.75" customHeight="1">
      <c r="A6" s="4">
        <v>5</v>
      </c>
      <c r="B6" s="17">
        <v>9</v>
      </c>
      <c r="C6" s="17">
        <v>9</v>
      </c>
      <c r="D6" s="6">
        <f t="shared" si="0"/>
        <v>1</v>
      </c>
      <c r="E6" s="7"/>
      <c r="F6" s="7"/>
      <c r="G6" s="7"/>
      <c r="H6" s="7"/>
    </row>
    <row r="7" spans="1:9" ht="15.75" customHeight="1">
      <c r="A7" s="4">
        <v>6</v>
      </c>
      <c r="B7" s="17">
        <v>8.5</v>
      </c>
      <c r="C7" s="17">
        <v>7</v>
      </c>
      <c r="D7" s="6">
        <f t="shared" si="0"/>
        <v>1.2142857142857142</v>
      </c>
      <c r="E7" s="7"/>
      <c r="F7" s="7"/>
      <c r="G7" s="7"/>
      <c r="H7" s="7"/>
    </row>
    <row r="8" spans="1:9" ht="15.75" customHeight="1">
      <c r="A8" s="4">
        <v>7</v>
      </c>
      <c r="B8" s="17">
        <v>10</v>
      </c>
      <c r="C8" s="17">
        <v>8.5</v>
      </c>
      <c r="D8" s="6">
        <f t="shared" si="0"/>
        <v>1.1764705882352942</v>
      </c>
      <c r="E8" s="7"/>
      <c r="F8" s="7"/>
      <c r="G8" s="7"/>
      <c r="H8" s="7"/>
    </row>
    <row r="9" spans="1:9" ht="15.75" customHeight="1">
      <c r="A9" s="4">
        <v>8</v>
      </c>
      <c r="B9" s="17">
        <v>9.5</v>
      </c>
      <c r="C9" s="17">
        <v>9</v>
      </c>
      <c r="D9" s="6">
        <f t="shared" si="0"/>
        <v>1.0555555555555556</v>
      </c>
      <c r="E9" s="7"/>
      <c r="F9" s="7"/>
      <c r="G9" s="7"/>
      <c r="H9" s="7"/>
    </row>
    <row r="10" spans="1:9" ht="15.75" customHeight="1">
      <c r="A10" s="4">
        <v>9</v>
      </c>
      <c r="B10" s="17">
        <v>10</v>
      </c>
      <c r="C10" s="17">
        <v>9.5</v>
      </c>
      <c r="D10" s="6">
        <f t="shared" si="0"/>
        <v>1.0526315789473684</v>
      </c>
      <c r="E10" s="7"/>
      <c r="F10" s="7"/>
      <c r="G10" s="7"/>
      <c r="H10" s="7"/>
    </row>
    <row r="11" spans="1:9" ht="15.75" customHeight="1">
      <c r="A11" s="4">
        <v>10</v>
      </c>
      <c r="B11" s="17">
        <v>9</v>
      </c>
      <c r="C11" s="17">
        <v>8.5</v>
      </c>
      <c r="D11" s="6">
        <f t="shared" si="0"/>
        <v>1.0588235294117647</v>
      </c>
      <c r="E11" s="7"/>
      <c r="F11" s="7"/>
      <c r="G11" s="7"/>
      <c r="H11" s="7"/>
    </row>
    <row r="12" spans="1:9" ht="15.75" customHeight="1">
      <c r="A12" s="8">
        <v>11</v>
      </c>
      <c r="B12" s="17">
        <v>9</v>
      </c>
      <c r="C12" s="17">
        <v>8.5</v>
      </c>
      <c r="D12" s="6">
        <f t="shared" si="0"/>
        <v>1.0588235294117647</v>
      </c>
      <c r="E12" s="7"/>
      <c r="F12" s="7"/>
      <c r="G12" s="7"/>
      <c r="H12" s="7"/>
    </row>
    <row r="13" spans="1:9" ht="15.75" customHeight="1">
      <c r="A13" s="8">
        <v>12</v>
      </c>
      <c r="B13" s="17">
        <v>8.5</v>
      </c>
      <c r="C13" s="17">
        <v>8</v>
      </c>
      <c r="D13" s="6">
        <f t="shared" si="0"/>
        <v>1.0625</v>
      </c>
      <c r="E13" s="7"/>
      <c r="F13" s="7"/>
      <c r="G13" s="7"/>
      <c r="H13" s="7"/>
    </row>
    <row r="14" spans="1:9" ht="15.75" customHeight="1">
      <c r="A14" s="8">
        <v>13</v>
      </c>
      <c r="B14" s="17">
        <v>10</v>
      </c>
      <c r="C14" s="17">
        <v>9</v>
      </c>
      <c r="D14" s="6">
        <f t="shared" si="0"/>
        <v>1.1111111111111112</v>
      </c>
      <c r="E14" s="7"/>
      <c r="F14" s="7"/>
      <c r="G14" s="7"/>
      <c r="H14" s="7"/>
    </row>
    <row r="15" spans="1:9" ht="15.75" customHeight="1">
      <c r="A15" s="8">
        <v>14</v>
      </c>
      <c r="B15" s="17">
        <v>9.5</v>
      </c>
      <c r="C15" s="17">
        <v>8.5</v>
      </c>
      <c r="D15" s="6">
        <f t="shared" si="0"/>
        <v>1.1176470588235294</v>
      </c>
      <c r="E15" s="7"/>
      <c r="F15" s="7"/>
      <c r="G15" s="7"/>
      <c r="H15" s="7"/>
      <c r="I15" s="1" t="s">
        <v>146</v>
      </c>
    </row>
    <row r="16" spans="1:9" ht="15.75" customHeight="1">
      <c r="A16" s="8">
        <v>15</v>
      </c>
      <c r="B16" s="17">
        <v>8.5</v>
      </c>
      <c r="C16" s="17">
        <v>8</v>
      </c>
      <c r="D16" s="6">
        <f t="shared" si="0"/>
        <v>1.0625</v>
      </c>
      <c r="E16" s="7"/>
      <c r="F16" s="7"/>
      <c r="G16" s="7"/>
      <c r="H16" s="7"/>
    </row>
    <row r="17" spans="1:9" ht="15.75" customHeight="1">
      <c r="A17" s="8">
        <v>16</v>
      </c>
      <c r="B17" s="17">
        <v>10</v>
      </c>
      <c r="C17" s="17">
        <v>9.5</v>
      </c>
      <c r="D17" s="6">
        <f t="shared" si="0"/>
        <v>1.0526315789473684</v>
      </c>
      <c r="E17" s="7"/>
      <c r="F17" s="7"/>
      <c r="G17" s="7"/>
      <c r="H17" s="7"/>
    </row>
    <row r="18" spans="1:9" ht="15.75" customHeight="1">
      <c r="A18" s="8">
        <v>17</v>
      </c>
      <c r="B18" s="17">
        <v>9.5</v>
      </c>
      <c r="C18" s="17">
        <v>9</v>
      </c>
      <c r="D18" s="6">
        <f t="shared" si="0"/>
        <v>1.0555555555555556</v>
      </c>
      <c r="E18" s="7"/>
      <c r="F18" s="7"/>
      <c r="G18" s="7"/>
      <c r="H18" s="7"/>
    </row>
    <row r="19" spans="1:9" ht="15.75" customHeight="1">
      <c r="A19" s="8">
        <v>18</v>
      </c>
      <c r="B19" s="17">
        <v>9.5</v>
      </c>
      <c r="C19" s="17">
        <v>9</v>
      </c>
      <c r="D19" s="6">
        <f t="shared" si="0"/>
        <v>1.0555555555555556</v>
      </c>
      <c r="E19" s="7"/>
      <c r="F19" s="7"/>
      <c r="G19" s="7"/>
      <c r="H19" s="7"/>
    </row>
    <row r="20" spans="1:9" ht="15.75" customHeight="1">
      <c r="A20" s="8">
        <v>19</v>
      </c>
      <c r="B20" s="17">
        <v>9</v>
      </c>
      <c r="C20" s="17">
        <v>9</v>
      </c>
      <c r="D20" s="6">
        <f t="shared" si="0"/>
        <v>1</v>
      </c>
      <c r="E20" s="7"/>
      <c r="F20" s="7"/>
      <c r="G20" s="7"/>
      <c r="H20" s="7"/>
    </row>
    <row r="21" spans="1:9" ht="15.75" customHeight="1">
      <c r="A21" s="8">
        <v>20</v>
      </c>
      <c r="B21" s="17">
        <v>10</v>
      </c>
      <c r="C21" s="17">
        <v>9</v>
      </c>
      <c r="D21" s="6">
        <f t="shared" si="0"/>
        <v>1.1111111111111112</v>
      </c>
      <c r="E21" s="7"/>
      <c r="F21" s="7"/>
      <c r="G21" s="7"/>
      <c r="H21" s="7"/>
    </row>
    <row r="22" spans="1:9" ht="15.75" customHeight="1">
      <c r="A22" s="8">
        <v>21</v>
      </c>
      <c r="B22" s="17">
        <v>9</v>
      </c>
      <c r="C22" s="17">
        <v>9</v>
      </c>
      <c r="D22" s="6">
        <f t="shared" si="0"/>
        <v>1</v>
      </c>
      <c r="E22" s="7"/>
      <c r="F22" s="7"/>
      <c r="G22" s="7"/>
      <c r="H22" s="7"/>
    </row>
    <row r="23" spans="1:9" ht="15.75" customHeight="1">
      <c r="A23" s="8">
        <v>22</v>
      </c>
      <c r="B23" s="17">
        <v>9</v>
      </c>
      <c r="C23" s="17">
        <v>8.5</v>
      </c>
      <c r="D23" s="6">
        <f t="shared" si="0"/>
        <v>1.0588235294117647</v>
      </c>
      <c r="E23" s="7"/>
      <c r="F23" s="7"/>
      <c r="G23" s="7"/>
      <c r="H23" s="7"/>
    </row>
    <row r="24" spans="1:9" ht="15.75" customHeight="1">
      <c r="A24" s="8">
        <v>23</v>
      </c>
      <c r="B24" s="17">
        <v>10</v>
      </c>
      <c r="C24" s="17">
        <v>9</v>
      </c>
      <c r="D24" s="6">
        <f t="shared" si="0"/>
        <v>1.1111111111111112</v>
      </c>
      <c r="E24" s="7"/>
      <c r="F24" s="7"/>
      <c r="G24" s="7"/>
      <c r="H24" s="7"/>
      <c r="I24" s="1" t="s">
        <v>147</v>
      </c>
    </row>
    <row r="25" spans="1:9" ht="15.75" customHeight="1">
      <c r="A25" s="8">
        <v>24</v>
      </c>
      <c r="B25" s="17">
        <v>9</v>
      </c>
      <c r="C25" s="17">
        <v>9</v>
      </c>
      <c r="D25" s="6">
        <f t="shared" si="0"/>
        <v>1</v>
      </c>
      <c r="E25" s="7"/>
      <c r="F25" s="7"/>
      <c r="G25" s="7"/>
      <c r="H25" s="7"/>
    </row>
    <row r="26" spans="1:9" ht="15.75" customHeight="1">
      <c r="A26" s="8">
        <v>25</v>
      </c>
      <c r="B26" s="17">
        <v>9.5</v>
      </c>
      <c r="C26" s="17">
        <v>8.5</v>
      </c>
      <c r="D26" s="6">
        <f t="shared" si="0"/>
        <v>1.1176470588235294</v>
      </c>
      <c r="E26" s="7"/>
      <c r="F26" s="7"/>
      <c r="G26" s="7"/>
      <c r="H26" s="7"/>
    </row>
    <row r="27" spans="1:9" ht="15.75" customHeight="1">
      <c r="A27" s="4" t="s">
        <v>10</v>
      </c>
      <c r="B27" s="5">
        <f t="shared" ref="B27:D27" si="1">AVERAGE(B2:B26)</f>
        <v>9.48</v>
      </c>
      <c r="C27" s="5">
        <f t="shared" si="1"/>
        <v>8.7799999999999994</v>
      </c>
      <c r="D27" s="9">
        <f t="shared" si="1"/>
        <v>1.0810389208314906</v>
      </c>
      <c r="E27" s="7"/>
      <c r="F27" s="7"/>
      <c r="G27" s="7"/>
      <c r="H27" s="7"/>
    </row>
    <row r="28" spans="1:9" ht="15.75" customHeight="1">
      <c r="A28" s="4" t="s">
        <v>11</v>
      </c>
      <c r="B28" s="5">
        <f t="shared" ref="B28:D28" si="2">MIN(B3:B26)</f>
        <v>8.5</v>
      </c>
      <c r="C28" s="5">
        <f t="shared" si="2"/>
        <v>7</v>
      </c>
      <c r="D28" s="9">
        <f t="shared" si="2"/>
        <v>1</v>
      </c>
      <c r="E28" s="7"/>
      <c r="F28" s="7"/>
      <c r="G28" s="7"/>
      <c r="H28" s="7"/>
    </row>
    <row r="29" spans="1:9" ht="15.75" customHeight="1">
      <c r="A29" s="4" t="s">
        <v>12</v>
      </c>
      <c r="B29" s="5">
        <f t="shared" ref="B29:D29" si="3">MAX(B4:B26)</f>
        <v>11</v>
      </c>
      <c r="C29" s="5">
        <f t="shared" si="3"/>
        <v>9.5</v>
      </c>
      <c r="D29" s="9">
        <f t="shared" si="3"/>
        <v>1.2142857142857142</v>
      </c>
      <c r="E29" s="7"/>
      <c r="F29" s="7"/>
      <c r="G29" s="7"/>
      <c r="H29" s="7"/>
    </row>
    <row r="30" spans="1:9" ht="15.75" customHeight="1">
      <c r="A30" s="2"/>
      <c r="B30" s="7"/>
      <c r="C30" s="7"/>
      <c r="D30" s="10"/>
      <c r="E30" s="7"/>
      <c r="F30" s="7"/>
      <c r="G30" s="7"/>
      <c r="H30" s="7"/>
    </row>
    <row r="31" spans="1:9" ht="15.75" customHeight="1">
      <c r="A31" s="2"/>
      <c r="B31" s="7"/>
      <c r="C31" s="7"/>
      <c r="D31" s="10"/>
      <c r="E31" s="7"/>
      <c r="F31" s="7"/>
      <c r="G31" s="7"/>
      <c r="H31" s="7"/>
    </row>
    <row r="32" spans="1:9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  <c r="I32" s="1" t="s">
        <v>148</v>
      </c>
    </row>
    <row r="33" spans="1:9" ht="15.75" customHeight="1">
      <c r="A33" s="4">
        <v>1</v>
      </c>
      <c r="B33" s="17">
        <v>48.5</v>
      </c>
      <c r="C33" s="17">
        <v>11.5</v>
      </c>
      <c r="D33" s="13">
        <v>4</v>
      </c>
      <c r="E33" s="17">
        <v>5.5</v>
      </c>
      <c r="F33" s="14" t="s">
        <v>41</v>
      </c>
      <c r="G33" s="7"/>
      <c r="H33" s="7"/>
    </row>
    <row r="34" spans="1:9" ht="15.75" customHeight="1">
      <c r="A34" s="4">
        <v>2</v>
      </c>
      <c r="B34" s="17">
        <v>52</v>
      </c>
      <c r="C34" s="17">
        <v>12.5</v>
      </c>
      <c r="D34" s="13">
        <v>4</v>
      </c>
      <c r="E34" s="17">
        <v>5</v>
      </c>
      <c r="F34" s="7"/>
      <c r="G34" s="7"/>
      <c r="H34" s="14" t="s">
        <v>149</v>
      </c>
      <c r="I34" s="1" t="s">
        <v>150</v>
      </c>
    </row>
    <row r="35" spans="1:9" ht="15.75" customHeight="1">
      <c r="A35" s="4">
        <v>3</v>
      </c>
      <c r="B35" s="17">
        <v>48.5</v>
      </c>
      <c r="C35" s="17">
        <v>10.5</v>
      </c>
      <c r="D35" s="13">
        <v>4</v>
      </c>
      <c r="E35" s="14">
        <v>5</v>
      </c>
      <c r="F35" s="7"/>
      <c r="G35" s="7"/>
      <c r="H35" s="7"/>
    </row>
    <row r="36" spans="1:9" ht="15.75" customHeight="1">
      <c r="A36" s="4">
        <v>4</v>
      </c>
      <c r="B36" s="17">
        <v>48</v>
      </c>
      <c r="C36" s="17">
        <v>11.5</v>
      </c>
      <c r="D36" s="13">
        <v>4</v>
      </c>
      <c r="E36" s="17">
        <v>3</v>
      </c>
      <c r="F36" s="7"/>
      <c r="G36" s="7"/>
      <c r="H36" s="7"/>
    </row>
    <row r="37" spans="1:9" ht="15.75" customHeight="1">
      <c r="A37" s="4">
        <v>5</v>
      </c>
      <c r="B37" s="17">
        <v>48.5</v>
      </c>
      <c r="C37" s="17">
        <v>12.5</v>
      </c>
      <c r="D37" s="13">
        <v>4</v>
      </c>
      <c r="E37" s="17">
        <v>7</v>
      </c>
      <c r="F37" s="7"/>
      <c r="G37" s="7"/>
      <c r="H37" s="7"/>
    </row>
    <row r="38" spans="1:9" ht="15.75" customHeight="1">
      <c r="A38" s="4">
        <v>6</v>
      </c>
      <c r="B38" s="17">
        <v>47.5</v>
      </c>
      <c r="C38" s="17">
        <v>12</v>
      </c>
      <c r="D38" s="13">
        <v>4</v>
      </c>
      <c r="E38" s="17">
        <v>5.5</v>
      </c>
      <c r="F38" s="7"/>
      <c r="G38" s="7"/>
      <c r="H38" s="7"/>
    </row>
    <row r="39" spans="1:9" ht="15.75" customHeight="1">
      <c r="A39" s="4">
        <v>7</v>
      </c>
      <c r="B39" s="17">
        <v>49.5</v>
      </c>
      <c r="C39" s="17">
        <v>11</v>
      </c>
      <c r="D39" s="13">
        <v>4</v>
      </c>
      <c r="E39" s="17">
        <v>7.5</v>
      </c>
      <c r="F39" s="7"/>
      <c r="G39" s="7"/>
      <c r="H39" s="7"/>
    </row>
    <row r="40" spans="1:9" ht="15.75" customHeight="1">
      <c r="A40" s="4">
        <v>8</v>
      </c>
      <c r="B40" s="17">
        <v>45.5</v>
      </c>
      <c r="C40" s="17">
        <v>11</v>
      </c>
      <c r="D40" s="13">
        <v>4</v>
      </c>
      <c r="E40" s="17">
        <v>5</v>
      </c>
      <c r="F40" s="7"/>
      <c r="G40" s="7"/>
      <c r="H40" s="7"/>
    </row>
    <row r="41" spans="1:9" ht="15.75" customHeight="1">
      <c r="A41" s="4">
        <v>9</v>
      </c>
      <c r="B41" s="5"/>
      <c r="C41" s="5"/>
      <c r="D41" s="13">
        <v>4</v>
      </c>
      <c r="E41" s="5"/>
      <c r="F41" s="7"/>
      <c r="G41" s="7"/>
      <c r="H41" s="7"/>
    </row>
    <row r="42" spans="1:9" ht="15.75" customHeight="1">
      <c r="A42" s="4">
        <v>10</v>
      </c>
      <c r="B42" s="5"/>
      <c r="C42" s="5"/>
      <c r="D42" s="13">
        <v>4</v>
      </c>
      <c r="E42" s="5"/>
      <c r="F42" s="7"/>
      <c r="G42" s="7"/>
      <c r="H42" s="7"/>
    </row>
    <row r="43" spans="1:9" ht="15.75" customHeight="1">
      <c r="A43" s="8">
        <v>11</v>
      </c>
      <c r="B43" s="5"/>
      <c r="C43" s="5"/>
      <c r="D43" s="13">
        <v>4</v>
      </c>
      <c r="E43" s="5"/>
      <c r="F43" s="7"/>
      <c r="G43" s="7"/>
      <c r="H43" s="7"/>
    </row>
    <row r="44" spans="1:9" ht="15.75" customHeight="1">
      <c r="A44" s="8">
        <v>12</v>
      </c>
      <c r="D44" s="12">
        <v>4</v>
      </c>
      <c r="F44" s="7"/>
      <c r="G44" s="7"/>
      <c r="H44" s="7"/>
    </row>
    <row r="45" spans="1:9" ht="15.75" customHeight="1">
      <c r="A45" s="8">
        <v>13</v>
      </c>
      <c r="D45" s="12">
        <v>4</v>
      </c>
      <c r="F45" s="7"/>
      <c r="G45" s="7"/>
      <c r="H45" s="7"/>
    </row>
    <row r="46" spans="1:9" ht="15.75" customHeight="1">
      <c r="A46" s="8">
        <v>14</v>
      </c>
      <c r="D46" s="12">
        <v>4</v>
      </c>
      <c r="F46" s="7"/>
      <c r="G46" s="7"/>
      <c r="H46" s="7"/>
    </row>
    <row r="47" spans="1:9" ht="15.75" customHeight="1">
      <c r="A47" s="8">
        <v>15</v>
      </c>
      <c r="D47" s="12">
        <v>4</v>
      </c>
      <c r="F47" s="7"/>
      <c r="G47" s="7"/>
      <c r="H47" s="7"/>
    </row>
    <row r="48" spans="1:9" ht="15.75" customHeight="1">
      <c r="A48" s="8">
        <v>16</v>
      </c>
      <c r="D48" s="12">
        <v>4</v>
      </c>
      <c r="F48" s="7"/>
      <c r="G48" s="7"/>
      <c r="H48" s="7"/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48.5</v>
      </c>
      <c r="C58" s="5">
        <f t="shared" si="4"/>
        <v>11.5625</v>
      </c>
      <c r="D58" s="13">
        <v>4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45.5</v>
      </c>
      <c r="C59" s="5">
        <f t="shared" si="5"/>
        <v>10.5</v>
      </c>
      <c r="D59" s="11">
        <f t="shared" si="5"/>
        <v>4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52</v>
      </c>
      <c r="C60" s="5">
        <f t="shared" si="6"/>
        <v>12.5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14" t="s">
        <v>151</v>
      </c>
      <c r="C63" s="7"/>
      <c r="D63" s="10"/>
      <c r="E63" s="14" t="s">
        <v>152</v>
      </c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 t="s">
        <v>108</v>
      </c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137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I1006"/>
  <sheetViews>
    <sheetView workbookViewId="0"/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10</v>
      </c>
      <c r="C2" s="17">
        <v>10</v>
      </c>
      <c r="D2" s="6">
        <f t="shared" ref="D2:D26" si="0">B2/C2</f>
        <v>1</v>
      </c>
      <c r="E2" s="14" t="s">
        <v>29</v>
      </c>
      <c r="F2" s="14" t="s">
        <v>30</v>
      </c>
      <c r="G2" s="14" t="s">
        <v>35</v>
      </c>
      <c r="H2" s="7"/>
      <c r="I2" s="26" t="s">
        <v>153</v>
      </c>
    </row>
    <row r="3" spans="1:9" ht="15.75" customHeight="1">
      <c r="A3" s="4">
        <v>2</v>
      </c>
      <c r="B3" s="17">
        <v>9</v>
      </c>
      <c r="C3" s="17">
        <v>9</v>
      </c>
      <c r="D3" s="6">
        <f t="shared" si="0"/>
        <v>1</v>
      </c>
      <c r="E3" s="7"/>
      <c r="F3" s="7"/>
      <c r="G3" s="7"/>
      <c r="H3" s="7"/>
      <c r="I3" s="24"/>
    </row>
    <row r="4" spans="1:9" ht="15.75" customHeight="1">
      <c r="A4" s="4">
        <v>3</v>
      </c>
      <c r="B4" s="17">
        <v>10</v>
      </c>
      <c r="C4" s="17">
        <v>9.5</v>
      </c>
      <c r="D4" s="6">
        <f t="shared" si="0"/>
        <v>1.0526315789473684</v>
      </c>
      <c r="E4" s="7"/>
      <c r="F4" s="7"/>
      <c r="G4" s="7"/>
      <c r="H4" s="7"/>
      <c r="I4" s="24"/>
    </row>
    <row r="5" spans="1:9" ht="15.75" customHeight="1">
      <c r="A5" s="4">
        <v>4</v>
      </c>
      <c r="B5" s="17">
        <v>9.5</v>
      </c>
      <c r="C5" s="17">
        <v>9</v>
      </c>
      <c r="D5" s="6">
        <f t="shared" si="0"/>
        <v>1.0555555555555556</v>
      </c>
      <c r="E5" s="7"/>
      <c r="F5" s="7"/>
      <c r="G5" s="7"/>
      <c r="H5" s="7"/>
      <c r="I5" s="24"/>
    </row>
    <row r="6" spans="1:9" ht="15.75" customHeight="1">
      <c r="A6" s="4">
        <v>5</v>
      </c>
      <c r="B6" s="17">
        <v>9</v>
      </c>
      <c r="C6" s="17">
        <v>9</v>
      </c>
      <c r="D6" s="6">
        <f t="shared" si="0"/>
        <v>1</v>
      </c>
      <c r="E6" s="7"/>
      <c r="F6" s="7"/>
      <c r="G6" s="7"/>
      <c r="H6" s="7"/>
      <c r="I6" s="24"/>
    </row>
    <row r="7" spans="1:9" ht="15.75" customHeight="1">
      <c r="A7" s="4">
        <v>6</v>
      </c>
      <c r="B7" s="17">
        <v>9.5</v>
      </c>
      <c r="C7" s="17">
        <v>9.5</v>
      </c>
      <c r="D7" s="6">
        <f t="shared" si="0"/>
        <v>1</v>
      </c>
      <c r="E7" s="7"/>
      <c r="F7" s="7"/>
      <c r="G7" s="7"/>
      <c r="H7" s="7"/>
      <c r="I7" s="24"/>
    </row>
    <row r="8" spans="1:9" ht="15.75" customHeight="1">
      <c r="A8" s="4">
        <v>7</v>
      </c>
      <c r="B8" s="17">
        <v>9</v>
      </c>
      <c r="C8" s="17">
        <v>9</v>
      </c>
      <c r="D8" s="6">
        <f t="shared" si="0"/>
        <v>1</v>
      </c>
      <c r="E8" s="7"/>
      <c r="F8" s="7"/>
      <c r="G8" s="7"/>
      <c r="H8" s="7"/>
      <c r="I8" s="24"/>
    </row>
    <row r="9" spans="1:9" ht="15.75" customHeight="1">
      <c r="A9" s="4">
        <v>8</v>
      </c>
      <c r="B9" s="17">
        <v>10.5</v>
      </c>
      <c r="C9" s="17">
        <v>10</v>
      </c>
      <c r="D9" s="6">
        <f t="shared" si="0"/>
        <v>1.05</v>
      </c>
      <c r="E9" s="7"/>
      <c r="F9" s="7"/>
      <c r="G9" s="7"/>
      <c r="H9" s="7"/>
    </row>
    <row r="10" spans="1:9" ht="15.75" customHeight="1">
      <c r="A10" s="4">
        <v>9</v>
      </c>
      <c r="B10" s="17">
        <v>8</v>
      </c>
      <c r="C10" s="17">
        <v>8</v>
      </c>
      <c r="D10" s="6">
        <f t="shared" si="0"/>
        <v>1</v>
      </c>
      <c r="E10" s="7"/>
      <c r="F10" s="7"/>
      <c r="G10" s="7"/>
      <c r="H10" s="7"/>
    </row>
    <row r="11" spans="1:9" ht="15.75" customHeight="1">
      <c r="A11" s="4">
        <v>10</v>
      </c>
      <c r="B11" s="17">
        <v>9</v>
      </c>
      <c r="C11" s="17">
        <v>9</v>
      </c>
      <c r="D11" s="6">
        <f t="shared" si="0"/>
        <v>1</v>
      </c>
      <c r="E11" s="7"/>
      <c r="F11" s="7"/>
      <c r="G11" s="7"/>
      <c r="H11" s="7"/>
    </row>
    <row r="12" spans="1:9" ht="15.75" customHeight="1">
      <c r="A12" s="8">
        <v>11</v>
      </c>
      <c r="B12" s="17">
        <v>9</v>
      </c>
      <c r="C12" s="17">
        <v>9</v>
      </c>
      <c r="D12" s="6">
        <f t="shared" si="0"/>
        <v>1</v>
      </c>
      <c r="E12" s="7"/>
      <c r="F12" s="7"/>
      <c r="G12" s="7"/>
      <c r="H12" s="7"/>
    </row>
    <row r="13" spans="1:9" ht="15.75" customHeight="1">
      <c r="A13" s="8">
        <v>12</v>
      </c>
      <c r="B13" s="17">
        <v>9</v>
      </c>
      <c r="C13" s="17">
        <v>9.5</v>
      </c>
      <c r="D13" s="6">
        <f t="shared" si="0"/>
        <v>0.94736842105263153</v>
      </c>
      <c r="E13" s="7"/>
      <c r="F13" s="7"/>
      <c r="G13" s="7"/>
      <c r="H13" s="7"/>
    </row>
    <row r="14" spans="1:9" ht="15.75" customHeight="1">
      <c r="A14" s="8">
        <v>13</v>
      </c>
      <c r="B14" s="17">
        <v>9</v>
      </c>
      <c r="C14" s="17">
        <v>9</v>
      </c>
      <c r="D14" s="6">
        <f t="shared" si="0"/>
        <v>1</v>
      </c>
      <c r="E14" s="7"/>
      <c r="F14" s="7"/>
      <c r="G14" s="7"/>
      <c r="H14" s="7"/>
    </row>
    <row r="15" spans="1:9" ht="15.75" customHeight="1">
      <c r="A15" s="8">
        <v>14</v>
      </c>
      <c r="B15" s="17">
        <v>9.5</v>
      </c>
      <c r="C15" s="17">
        <v>9</v>
      </c>
      <c r="D15" s="6">
        <f t="shared" si="0"/>
        <v>1.0555555555555556</v>
      </c>
      <c r="E15" s="7"/>
      <c r="F15" s="7"/>
      <c r="G15" s="7"/>
      <c r="H15" s="7"/>
    </row>
    <row r="16" spans="1:9" ht="15.75" customHeight="1">
      <c r="A16" s="8">
        <v>15</v>
      </c>
      <c r="B16" s="17">
        <v>9.5</v>
      </c>
      <c r="C16" s="17">
        <v>9</v>
      </c>
      <c r="D16" s="6">
        <f t="shared" si="0"/>
        <v>1.0555555555555556</v>
      </c>
      <c r="E16" s="7"/>
      <c r="F16" s="7"/>
      <c r="G16" s="7"/>
      <c r="H16" s="7"/>
    </row>
    <row r="17" spans="1:9" ht="15.75" customHeight="1">
      <c r="A17" s="8">
        <v>16</v>
      </c>
      <c r="B17" s="17">
        <v>8</v>
      </c>
      <c r="C17" s="17">
        <v>8</v>
      </c>
      <c r="D17" s="6">
        <f t="shared" si="0"/>
        <v>1</v>
      </c>
      <c r="E17" s="7"/>
      <c r="F17" s="7"/>
      <c r="G17" s="7"/>
      <c r="H17" s="7"/>
    </row>
    <row r="18" spans="1:9" ht="15.75" customHeight="1">
      <c r="A18" s="8">
        <v>17</v>
      </c>
      <c r="B18" s="17">
        <v>10</v>
      </c>
      <c r="C18" s="17">
        <v>10</v>
      </c>
      <c r="D18" s="6">
        <f t="shared" si="0"/>
        <v>1</v>
      </c>
      <c r="E18" s="7"/>
      <c r="F18" s="7"/>
      <c r="G18" s="7"/>
      <c r="H18" s="7"/>
    </row>
    <row r="19" spans="1:9" ht="15.75" customHeight="1">
      <c r="A19" s="8">
        <v>18</v>
      </c>
      <c r="B19" s="17">
        <v>9</v>
      </c>
      <c r="C19" s="17">
        <v>9</v>
      </c>
      <c r="D19" s="6">
        <f t="shared" si="0"/>
        <v>1</v>
      </c>
      <c r="E19" s="7"/>
      <c r="F19" s="7"/>
      <c r="G19" s="7"/>
      <c r="H19" s="7"/>
    </row>
    <row r="20" spans="1:9" ht="15.75" customHeight="1">
      <c r="A20" s="8">
        <v>19</v>
      </c>
      <c r="B20" s="17">
        <v>10.5</v>
      </c>
      <c r="C20" s="17">
        <v>10</v>
      </c>
      <c r="D20" s="6">
        <f t="shared" si="0"/>
        <v>1.05</v>
      </c>
      <c r="E20" s="7"/>
      <c r="F20" s="7"/>
      <c r="G20" s="7"/>
      <c r="H20" s="7"/>
    </row>
    <row r="21" spans="1:9" ht="15.75" customHeight="1">
      <c r="A21" s="8">
        <v>20</v>
      </c>
      <c r="B21" s="17">
        <v>8.5</v>
      </c>
      <c r="C21" s="17">
        <v>8.5</v>
      </c>
      <c r="D21" s="6">
        <f t="shared" si="0"/>
        <v>1</v>
      </c>
      <c r="E21" s="7"/>
      <c r="F21" s="7"/>
      <c r="G21" s="7"/>
      <c r="H21" s="7"/>
    </row>
    <row r="22" spans="1:9" ht="15.75" customHeight="1">
      <c r="A22" s="8">
        <v>21</v>
      </c>
      <c r="B22" s="17">
        <v>10</v>
      </c>
      <c r="C22" s="17">
        <v>10</v>
      </c>
      <c r="D22" s="6">
        <f t="shared" si="0"/>
        <v>1</v>
      </c>
      <c r="E22" s="7"/>
      <c r="F22" s="7"/>
      <c r="G22" s="7"/>
      <c r="H22" s="7"/>
    </row>
    <row r="23" spans="1:9" ht="15.75" customHeight="1">
      <c r="A23" s="8">
        <v>22</v>
      </c>
      <c r="B23" s="17">
        <v>10</v>
      </c>
      <c r="C23" s="17">
        <v>10</v>
      </c>
      <c r="D23" s="6">
        <f t="shared" si="0"/>
        <v>1</v>
      </c>
      <c r="E23" s="7"/>
      <c r="F23" s="7"/>
      <c r="G23" s="7"/>
      <c r="H23" s="7"/>
    </row>
    <row r="24" spans="1:9" ht="15.75" customHeight="1">
      <c r="A24" s="8">
        <v>23</v>
      </c>
      <c r="B24" s="17">
        <v>10</v>
      </c>
      <c r="C24" s="17">
        <v>10.5</v>
      </c>
      <c r="D24" s="6">
        <f t="shared" si="0"/>
        <v>0.95238095238095233</v>
      </c>
      <c r="E24" s="7"/>
      <c r="F24" s="7"/>
      <c r="G24" s="7"/>
      <c r="H24" s="7"/>
    </row>
    <row r="25" spans="1:9" ht="15.75" customHeight="1">
      <c r="A25" s="8">
        <v>24</v>
      </c>
      <c r="B25" s="17">
        <v>9.5</v>
      </c>
      <c r="C25" s="17">
        <v>9</v>
      </c>
      <c r="D25" s="6">
        <f t="shared" si="0"/>
        <v>1.0555555555555556</v>
      </c>
      <c r="E25" s="7"/>
      <c r="F25" s="7"/>
      <c r="G25" s="7"/>
      <c r="H25" s="7"/>
    </row>
    <row r="26" spans="1:9" ht="15.75" customHeight="1">
      <c r="A26" s="8">
        <v>25</v>
      </c>
      <c r="B26" s="17">
        <v>9</v>
      </c>
      <c r="C26" s="17">
        <v>9</v>
      </c>
      <c r="D26" s="6">
        <f t="shared" si="0"/>
        <v>1</v>
      </c>
      <c r="E26" s="7"/>
      <c r="F26" s="7"/>
      <c r="G26" s="7"/>
      <c r="H26" s="7"/>
      <c r="I26" s="1" t="s">
        <v>154</v>
      </c>
    </row>
    <row r="27" spans="1:9" ht="15.75" customHeight="1">
      <c r="A27" s="4" t="s">
        <v>10</v>
      </c>
      <c r="B27" s="5">
        <f t="shared" ref="B27:D27" si="1">AVERAGE(B2:B26)</f>
        <v>9.36</v>
      </c>
      <c r="C27" s="5">
        <f t="shared" si="1"/>
        <v>9.26</v>
      </c>
      <c r="D27" s="9">
        <f t="shared" si="1"/>
        <v>1.0109841269841271</v>
      </c>
      <c r="E27" s="7"/>
      <c r="F27" s="7"/>
      <c r="G27" s="7"/>
      <c r="H27" s="7"/>
    </row>
    <row r="28" spans="1:9" ht="15.75" customHeight="1">
      <c r="A28" s="4" t="s">
        <v>11</v>
      </c>
      <c r="B28" s="5">
        <f t="shared" ref="B28:D28" si="2">MIN(B3:B26)</f>
        <v>8</v>
      </c>
      <c r="C28" s="5">
        <f t="shared" si="2"/>
        <v>8</v>
      </c>
      <c r="D28" s="9">
        <f t="shared" si="2"/>
        <v>0.94736842105263153</v>
      </c>
      <c r="E28" s="7"/>
      <c r="F28" s="7"/>
      <c r="G28" s="7"/>
      <c r="H28" s="7"/>
    </row>
    <row r="29" spans="1:9" ht="15.75" customHeight="1">
      <c r="A29" s="4" t="s">
        <v>12</v>
      </c>
      <c r="B29" s="5">
        <f t="shared" ref="B29:D29" si="3">MAX(B4:B26)</f>
        <v>10.5</v>
      </c>
      <c r="C29" s="5">
        <f t="shared" si="3"/>
        <v>10.5</v>
      </c>
      <c r="D29" s="9">
        <f t="shared" si="3"/>
        <v>1.0555555555555556</v>
      </c>
      <c r="E29" s="7"/>
      <c r="F29" s="7"/>
      <c r="G29" s="7"/>
      <c r="H29" s="7"/>
    </row>
    <row r="30" spans="1:9" ht="15.75" customHeight="1">
      <c r="A30" s="2"/>
      <c r="B30" s="7"/>
      <c r="C30" s="7"/>
      <c r="D30" s="10"/>
      <c r="E30" s="7"/>
      <c r="F30" s="7"/>
      <c r="G30" s="7"/>
      <c r="H30" s="7"/>
    </row>
    <row r="31" spans="1:9" ht="15.75" customHeight="1">
      <c r="A31" s="2"/>
      <c r="B31" s="7"/>
      <c r="C31" s="7"/>
      <c r="D31" s="10"/>
      <c r="E31" s="7"/>
      <c r="F31" s="7"/>
      <c r="G31" s="7"/>
      <c r="H31" s="7"/>
    </row>
    <row r="32" spans="1:9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30</v>
      </c>
      <c r="C33" s="17">
        <v>13.5</v>
      </c>
      <c r="D33" s="13">
        <v>4</v>
      </c>
      <c r="E33" s="17">
        <v>9</v>
      </c>
      <c r="F33" s="7"/>
      <c r="G33" s="7"/>
      <c r="H33" s="7"/>
    </row>
    <row r="34" spans="1:8" ht="15.75" customHeight="1">
      <c r="A34" s="4">
        <v>2</v>
      </c>
      <c r="B34" s="17">
        <v>41</v>
      </c>
      <c r="C34" s="17">
        <v>10.5</v>
      </c>
      <c r="D34" s="13">
        <v>4</v>
      </c>
      <c r="E34" s="17">
        <v>7</v>
      </c>
      <c r="F34" s="7"/>
      <c r="G34" s="7"/>
      <c r="H34" s="7"/>
    </row>
    <row r="35" spans="1:8" ht="15.75" customHeight="1">
      <c r="A35" s="4">
        <v>3</v>
      </c>
      <c r="B35" s="17">
        <v>37</v>
      </c>
      <c r="C35" s="17">
        <v>13</v>
      </c>
      <c r="D35" s="13">
        <v>4</v>
      </c>
      <c r="E35" s="14">
        <v>6</v>
      </c>
      <c r="F35" s="7"/>
      <c r="G35" s="7"/>
      <c r="H35" s="7"/>
    </row>
    <row r="36" spans="1:8" ht="15.75" customHeight="1">
      <c r="A36" s="4">
        <v>4</v>
      </c>
      <c r="B36" s="17">
        <v>39</v>
      </c>
      <c r="C36" s="17">
        <v>12</v>
      </c>
      <c r="D36" s="13">
        <v>4</v>
      </c>
      <c r="E36" s="17">
        <v>6.5</v>
      </c>
      <c r="F36" s="7"/>
      <c r="G36" s="7"/>
      <c r="H36" s="25" t="s">
        <v>155</v>
      </c>
    </row>
    <row r="37" spans="1:8" ht="15.75" customHeight="1">
      <c r="A37" s="4">
        <v>5</v>
      </c>
      <c r="B37" s="17">
        <v>45</v>
      </c>
      <c r="C37" s="17">
        <v>12</v>
      </c>
      <c r="D37" s="13">
        <v>4</v>
      </c>
      <c r="E37" s="17" t="s">
        <v>156</v>
      </c>
      <c r="F37" s="7"/>
      <c r="G37" s="7"/>
      <c r="H37" s="24"/>
    </row>
    <row r="38" spans="1:8" ht="15.75" customHeight="1">
      <c r="A38" s="4">
        <v>6</v>
      </c>
      <c r="B38" s="17">
        <v>36.5</v>
      </c>
      <c r="C38" s="17">
        <v>10.5</v>
      </c>
      <c r="D38" s="13">
        <v>4</v>
      </c>
      <c r="E38" s="17">
        <v>6.5</v>
      </c>
      <c r="F38" s="7"/>
      <c r="G38" s="7"/>
      <c r="H38" s="24"/>
    </row>
    <row r="39" spans="1:8" ht="15.75" customHeight="1">
      <c r="A39" s="4">
        <v>7</v>
      </c>
      <c r="B39" s="17">
        <v>35.5</v>
      </c>
      <c r="C39" s="17">
        <v>13</v>
      </c>
      <c r="D39" s="13">
        <v>4</v>
      </c>
      <c r="E39" s="17">
        <v>5</v>
      </c>
      <c r="F39" s="7"/>
      <c r="G39" s="7"/>
      <c r="H39" s="7"/>
    </row>
    <row r="40" spans="1:8" ht="15.75" customHeight="1">
      <c r="A40" s="4">
        <v>8</v>
      </c>
      <c r="B40" s="17">
        <v>39</v>
      </c>
      <c r="C40" s="17">
        <v>12</v>
      </c>
      <c r="D40" s="13">
        <v>4</v>
      </c>
      <c r="E40" s="17">
        <v>6</v>
      </c>
      <c r="F40" s="7"/>
      <c r="G40" s="7"/>
      <c r="H40" s="7"/>
    </row>
    <row r="41" spans="1:8" ht="15.75" customHeight="1">
      <c r="A41" s="4">
        <v>9</v>
      </c>
      <c r="B41" s="17">
        <v>45.5</v>
      </c>
      <c r="C41" s="17">
        <v>11</v>
      </c>
      <c r="D41" s="13">
        <v>4</v>
      </c>
      <c r="E41" s="17">
        <v>7</v>
      </c>
      <c r="F41" s="7"/>
      <c r="G41" s="7"/>
      <c r="H41" s="7"/>
    </row>
    <row r="42" spans="1:8" ht="15.75" customHeight="1">
      <c r="A42" s="4">
        <v>10</v>
      </c>
      <c r="B42" s="17">
        <v>42.5</v>
      </c>
      <c r="C42" s="17">
        <v>11</v>
      </c>
      <c r="D42" s="13">
        <v>4</v>
      </c>
      <c r="E42" s="17">
        <v>8</v>
      </c>
      <c r="F42" s="7"/>
      <c r="G42" s="7"/>
      <c r="H42" s="7"/>
    </row>
    <row r="43" spans="1:8" ht="15.75" customHeight="1">
      <c r="A43" s="8">
        <v>11</v>
      </c>
      <c r="B43" s="5"/>
      <c r="C43" s="5"/>
      <c r="D43" s="13">
        <v>4</v>
      </c>
      <c r="E43" s="5"/>
      <c r="F43" s="7"/>
      <c r="G43" s="7"/>
      <c r="H43" s="7"/>
    </row>
    <row r="44" spans="1:8" ht="15.75" customHeight="1">
      <c r="A44" s="8">
        <v>12</v>
      </c>
      <c r="D44" s="12">
        <v>4</v>
      </c>
      <c r="F44" s="7"/>
      <c r="G44" s="7"/>
      <c r="H44" s="7"/>
    </row>
    <row r="45" spans="1:8" ht="15.75" customHeight="1">
      <c r="A45" s="8">
        <v>13</v>
      </c>
      <c r="D45" s="12">
        <v>4</v>
      </c>
      <c r="F45" s="7"/>
      <c r="G45" s="7"/>
      <c r="H45" s="7"/>
    </row>
    <row r="46" spans="1:8" ht="15.75" customHeight="1">
      <c r="A46" s="8">
        <v>14</v>
      </c>
      <c r="D46" s="12">
        <v>4</v>
      </c>
      <c r="F46" s="7"/>
      <c r="G46" s="7"/>
      <c r="H46" s="7"/>
    </row>
    <row r="47" spans="1:8" ht="15.75" customHeight="1">
      <c r="A47" s="8">
        <v>15</v>
      </c>
      <c r="D47" s="12">
        <v>4</v>
      </c>
      <c r="F47" s="7"/>
      <c r="G47" s="7"/>
      <c r="H47" s="7"/>
    </row>
    <row r="48" spans="1:8" ht="15.75" customHeight="1">
      <c r="A48" s="8">
        <v>16</v>
      </c>
      <c r="D48" s="12">
        <v>4</v>
      </c>
      <c r="F48" s="7"/>
      <c r="G48" s="7"/>
      <c r="H48" s="7"/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39.1</v>
      </c>
      <c r="C58" s="5">
        <f t="shared" si="4"/>
        <v>11.85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30</v>
      </c>
      <c r="C59" s="5">
        <f t="shared" si="5"/>
        <v>10.5</v>
      </c>
      <c r="D59" s="11">
        <f t="shared" si="5"/>
        <v>4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45.5</v>
      </c>
      <c r="C60" s="5">
        <f t="shared" si="6"/>
        <v>13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19">
        <v>1</v>
      </c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7</v>
      </c>
      <c r="C65" s="7"/>
      <c r="D65" s="10"/>
      <c r="E65" s="7"/>
      <c r="F65" s="7"/>
      <c r="G65" s="7"/>
      <c r="H65" s="7"/>
    </row>
    <row r="66" spans="1:8" ht="14">
      <c r="A66" s="2"/>
      <c r="B66" s="14">
        <v>8</v>
      </c>
      <c r="C66" s="7"/>
      <c r="D66" s="10"/>
      <c r="E66" s="7"/>
      <c r="F66" s="7"/>
      <c r="G66" s="7"/>
      <c r="H66" s="7"/>
    </row>
    <row r="67" spans="1:8" ht="14">
      <c r="A67" s="2"/>
      <c r="B67" s="14">
        <v>5</v>
      </c>
      <c r="C67" s="7"/>
      <c r="D67" s="10"/>
      <c r="E67" s="7"/>
      <c r="F67" s="7"/>
      <c r="G67" s="7"/>
      <c r="H67" s="7"/>
    </row>
    <row r="68" spans="1:8" ht="14">
      <c r="A68" s="2"/>
      <c r="B68" s="14">
        <v>4.5</v>
      </c>
      <c r="C68" s="7"/>
      <c r="D68" s="10"/>
      <c r="E68" s="7"/>
      <c r="F68" s="7"/>
      <c r="G68" s="7"/>
      <c r="H68" s="7"/>
    </row>
    <row r="69" spans="1:8" ht="14">
      <c r="A69" s="2"/>
      <c r="B69" s="14">
        <v>4</v>
      </c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14" t="s">
        <v>39</v>
      </c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88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3">
    <mergeCell ref="I2:I8"/>
    <mergeCell ref="H36:H38"/>
    <mergeCell ref="D62:E6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J74"/>
  <sheetViews>
    <sheetView workbookViewId="0"/>
  </sheetViews>
  <sheetFormatPr baseColWidth="10" defaultColWidth="12.6640625" defaultRowHeight="15.75" customHeight="1"/>
  <cols>
    <col min="9" max="9" width="20.1640625" customWidth="1"/>
  </cols>
  <sheetData>
    <row r="1" spans="1:10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10" ht="15.75" customHeight="1">
      <c r="A2" s="4">
        <v>1</v>
      </c>
      <c r="B2" s="17">
        <v>9</v>
      </c>
      <c r="C2" s="17">
        <v>7</v>
      </c>
      <c r="D2" s="6">
        <f t="shared" ref="D2:D26" si="0">B2/C2</f>
        <v>1.2857142857142858</v>
      </c>
      <c r="E2" s="14" t="s">
        <v>29</v>
      </c>
      <c r="F2" s="14" t="s">
        <v>30</v>
      </c>
      <c r="G2" s="14" t="s">
        <v>29</v>
      </c>
      <c r="H2" s="7"/>
    </row>
    <row r="3" spans="1:10" ht="15.75" customHeight="1">
      <c r="A3" s="4">
        <v>2</v>
      </c>
      <c r="B3" s="17">
        <v>8.5</v>
      </c>
      <c r="C3" s="17">
        <v>7</v>
      </c>
      <c r="D3" s="6">
        <f t="shared" si="0"/>
        <v>1.2142857142857142</v>
      </c>
      <c r="E3" s="7"/>
      <c r="F3" s="7"/>
      <c r="G3" s="7"/>
      <c r="H3" s="7"/>
      <c r="I3" s="1" t="s">
        <v>157</v>
      </c>
      <c r="J3" s="1" t="s">
        <v>158</v>
      </c>
    </row>
    <row r="4" spans="1:10" ht="15.75" customHeight="1">
      <c r="A4" s="4">
        <v>3</v>
      </c>
      <c r="B4" s="17">
        <v>10.5</v>
      </c>
      <c r="C4" s="17">
        <v>7</v>
      </c>
      <c r="D4" s="6">
        <f t="shared" si="0"/>
        <v>1.5</v>
      </c>
      <c r="E4" s="7"/>
      <c r="F4" s="7"/>
      <c r="G4" s="7"/>
      <c r="H4" s="7"/>
    </row>
    <row r="5" spans="1:10" ht="15.75" customHeight="1">
      <c r="A5" s="4">
        <v>4</v>
      </c>
      <c r="B5" s="17">
        <v>8</v>
      </c>
      <c r="C5" s="17">
        <v>7.5</v>
      </c>
      <c r="D5" s="6">
        <f t="shared" si="0"/>
        <v>1.0666666666666667</v>
      </c>
      <c r="E5" s="7"/>
      <c r="F5" s="7"/>
      <c r="G5" s="7"/>
      <c r="H5" s="7"/>
    </row>
    <row r="6" spans="1:10" ht="15.75" customHeight="1">
      <c r="A6" s="4">
        <v>5</v>
      </c>
      <c r="B6" s="17">
        <v>6.5</v>
      </c>
      <c r="C6" s="17">
        <v>6</v>
      </c>
      <c r="D6" s="6">
        <f t="shared" si="0"/>
        <v>1.0833333333333333</v>
      </c>
      <c r="E6" s="7"/>
      <c r="F6" s="7"/>
      <c r="G6" s="7"/>
      <c r="H6" s="7"/>
    </row>
    <row r="7" spans="1:10" ht="15.75" customHeight="1">
      <c r="A7" s="4">
        <v>6</v>
      </c>
      <c r="B7" s="17">
        <v>7.5</v>
      </c>
      <c r="C7" s="17">
        <v>6</v>
      </c>
      <c r="D7" s="6">
        <f t="shared" si="0"/>
        <v>1.25</v>
      </c>
      <c r="E7" s="7"/>
      <c r="F7" s="7"/>
      <c r="G7" s="7"/>
      <c r="H7" s="7"/>
    </row>
    <row r="8" spans="1:10" ht="15.75" customHeight="1">
      <c r="A8" s="4">
        <v>7</v>
      </c>
      <c r="B8" s="17">
        <v>10</v>
      </c>
      <c r="C8" s="17">
        <v>8</v>
      </c>
      <c r="D8" s="6">
        <f t="shared" si="0"/>
        <v>1.25</v>
      </c>
      <c r="E8" s="7"/>
      <c r="F8" s="7"/>
      <c r="G8" s="7"/>
      <c r="H8" s="7"/>
    </row>
    <row r="9" spans="1:10" ht="15.75" customHeight="1">
      <c r="A9" s="4">
        <v>8</v>
      </c>
      <c r="B9" s="17">
        <v>9</v>
      </c>
      <c r="C9" s="17">
        <v>8.5</v>
      </c>
      <c r="D9" s="6">
        <f t="shared" si="0"/>
        <v>1.0588235294117647</v>
      </c>
      <c r="E9" s="7"/>
      <c r="F9" s="7"/>
      <c r="G9" s="7"/>
      <c r="H9" s="7"/>
    </row>
    <row r="10" spans="1:10" ht="15.75" customHeight="1">
      <c r="A10" s="4">
        <v>9</v>
      </c>
      <c r="B10" s="17">
        <v>12</v>
      </c>
      <c r="C10" s="17">
        <v>7.5</v>
      </c>
      <c r="D10" s="6">
        <f t="shared" si="0"/>
        <v>1.6</v>
      </c>
      <c r="E10" s="7"/>
      <c r="F10" s="7"/>
      <c r="G10" s="7"/>
      <c r="H10" s="7"/>
    </row>
    <row r="11" spans="1:10" ht="15.75" customHeight="1">
      <c r="A11" s="4">
        <v>10</v>
      </c>
      <c r="B11" s="17">
        <v>8.5</v>
      </c>
      <c r="C11" s="17">
        <v>7</v>
      </c>
      <c r="D11" s="6">
        <f t="shared" si="0"/>
        <v>1.2142857142857142</v>
      </c>
      <c r="E11" s="7"/>
      <c r="F11" s="7"/>
      <c r="G11" s="7"/>
      <c r="H11" s="7"/>
    </row>
    <row r="12" spans="1:10" ht="15.75" customHeight="1">
      <c r="A12" s="8">
        <v>11</v>
      </c>
      <c r="B12" s="17">
        <v>7.5</v>
      </c>
      <c r="C12" s="17">
        <v>6.5</v>
      </c>
      <c r="D12" s="6">
        <f t="shared" si="0"/>
        <v>1.1538461538461537</v>
      </c>
      <c r="E12" s="7"/>
      <c r="F12" s="7"/>
      <c r="G12" s="7"/>
      <c r="H12" s="7"/>
    </row>
    <row r="13" spans="1:10" ht="15.75" customHeight="1">
      <c r="A13" s="8">
        <v>12</v>
      </c>
      <c r="B13" s="17">
        <v>7</v>
      </c>
      <c r="C13" s="17">
        <v>6.5</v>
      </c>
      <c r="D13" s="6">
        <f t="shared" si="0"/>
        <v>1.0769230769230769</v>
      </c>
      <c r="E13" s="7"/>
      <c r="F13" s="7"/>
      <c r="G13" s="7"/>
      <c r="H13" s="7"/>
    </row>
    <row r="14" spans="1:10" ht="15.75" customHeight="1">
      <c r="A14" s="8">
        <v>13</v>
      </c>
      <c r="B14" s="17">
        <v>7</v>
      </c>
      <c r="C14" s="17">
        <v>6</v>
      </c>
      <c r="D14" s="6">
        <f t="shared" si="0"/>
        <v>1.1666666666666667</v>
      </c>
      <c r="E14" s="7"/>
      <c r="F14" s="7"/>
      <c r="G14" s="7"/>
      <c r="H14" s="7"/>
    </row>
    <row r="15" spans="1:10" ht="15.75" customHeight="1">
      <c r="A15" s="8">
        <v>14</v>
      </c>
      <c r="B15" s="17">
        <v>8.5</v>
      </c>
      <c r="C15" s="17">
        <v>7</v>
      </c>
      <c r="D15" s="6">
        <f t="shared" si="0"/>
        <v>1.2142857142857142</v>
      </c>
      <c r="E15" s="7"/>
      <c r="F15" s="7"/>
      <c r="G15" s="7"/>
      <c r="H15" s="7"/>
    </row>
    <row r="16" spans="1:10" ht="15.75" customHeight="1">
      <c r="A16" s="8">
        <v>15</v>
      </c>
      <c r="B16" s="17">
        <v>8.5</v>
      </c>
      <c r="C16" s="17">
        <v>7.5</v>
      </c>
      <c r="D16" s="6">
        <f t="shared" si="0"/>
        <v>1.1333333333333333</v>
      </c>
      <c r="E16" s="7"/>
      <c r="F16" s="7"/>
      <c r="G16" s="7"/>
      <c r="H16" s="7"/>
    </row>
    <row r="17" spans="1:8" ht="15.75" customHeight="1">
      <c r="A17" s="8">
        <v>16</v>
      </c>
      <c r="B17" s="17">
        <v>9</v>
      </c>
      <c r="C17" s="17">
        <v>7</v>
      </c>
      <c r="D17" s="6">
        <f t="shared" si="0"/>
        <v>1.2857142857142858</v>
      </c>
      <c r="E17" s="25" t="s">
        <v>159</v>
      </c>
      <c r="F17" s="7"/>
      <c r="G17" s="7"/>
      <c r="H17" s="7"/>
    </row>
    <row r="18" spans="1:8" ht="15.75" customHeight="1">
      <c r="A18" s="8">
        <v>17</v>
      </c>
      <c r="B18" s="17">
        <v>12</v>
      </c>
      <c r="C18" s="17">
        <v>9.5</v>
      </c>
      <c r="D18" s="6">
        <f t="shared" si="0"/>
        <v>1.263157894736842</v>
      </c>
      <c r="E18" s="24"/>
      <c r="F18" s="7"/>
      <c r="G18" s="7"/>
      <c r="H18" s="7"/>
    </row>
    <row r="19" spans="1:8" ht="15.75" customHeight="1">
      <c r="A19" s="8">
        <v>18</v>
      </c>
      <c r="B19" s="17">
        <v>8.5</v>
      </c>
      <c r="C19" s="17">
        <v>8.5</v>
      </c>
      <c r="D19" s="6">
        <f t="shared" si="0"/>
        <v>1</v>
      </c>
      <c r="E19" s="24"/>
      <c r="F19" s="7"/>
      <c r="G19" s="7"/>
      <c r="H19" s="7"/>
    </row>
    <row r="20" spans="1:8" ht="15.75" customHeight="1">
      <c r="A20" s="8">
        <v>19</v>
      </c>
      <c r="B20" s="17">
        <v>8.5</v>
      </c>
      <c r="C20" s="17">
        <v>7</v>
      </c>
      <c r="D20" s="6">
        <f t="shared" si="0"/>
        <v>1.2142857142857142</v>
      </c>
      <c r="E20" s="24"/>
      <c r="F20" s="7"/>
      <c r="G20" s="7"/>
      <c r="H20" s="7"/>
    </row>
    <row r="21" spans="1:8" ht="15.75" customHeight="1">
      <c r="A21" s="8">
        <v>20</v>
      </c>
      <c r="B21" s="17">
        <v>7.5</v>
      </c>
      <c r="C21" s="17">
        <v>6.5</v>
      </c>
      <c r="D21" s="6">
        <f t="shared" si="0"/>
        <v>1.1538461538461537</v>
      </c>
      <c r="E21" s="24"/>
      <c r="F21" s="7"/>
      <c r="G21" s="7"/>
      <c r="H21" s="7"/>
    </row>
    <row r="22" spans="1:8" ht="15.75" customHeight="1">
      <c r="A22" s="8">
        <v>21</v>
      </c>
      <c r="B22" s="17">
        <v>7.5</v>
      </c>
      <c r="C22" s="17">
        <v>6.5</v>
      </c>
      <c r="D22" s="6">
        <f t="shared" si="0"/>
        <v>1.1538461538461537</v>
      </c>
      <c r="E22" s="24"/>
      <c r="F22" s="7"/>
      <c r="G22" s="7"/>
      <c r="H22" s="7"/>
    </row>
    <row r="23" spans="1:8" ht="15.75" customHeight="1">
      <c r="A23" s="8">
        <v>22</v>
      </c>
      <c r="B23" s="17">
        <v>8</v>
      </c>
      <c r="C23" s="17">
        <v>6.5</v>
      </c>
      <c r="D23" s="6">
        <f t="shared" si="0"/>
        <v>1.2307692307692308</v>
      </c>
      <c r="E23" s="24"/>
      <c r="F23" s="7"/>
      <c r="G23" s="7"/>
      <c r="H23" s="7"/>
    </row>
    <row r="24" spans="1:8" ht="15.75" customHeight="1">
      <c r="A24" s="8">
        <v>23</v>
      </c>
      <c r="B24" s="17">
        <v>9.5</v>
      </c>
      <c r="C24" s="17">
        <v>7</v>
      </c>
      <c r="D24" s="6">
        <f t="shared" si="0"/>
        <v>1.3571428571428572</v>
      </c>
      <c r="E24" s="7"/>
      <c r="F24" s="7"/>
      <c r="G24" s="7"/>
      <c r="H24" s="7"/>
    </row>
    <row r="25" spans="1:8" ht="15.75" customHeight="1">
      <c r="A25" s="8">
        <v>24</v>
      </c>
      <c r="B25" s="17">
        <v>8</v>
      </c>
      <c r="C25" s="17">
        <v>7</v>
      </c>
      <c r="D25" s="6">
        <f t="shared" si="0"/>
        <v>1.1428571428571428</v>
      </c>
      <c r="E25" s="7"/>
      <c r="F25" s="7"/>
      <c r="G25" s="7"/>
      <c r="H25" s="7"/>
    </row>
    <row r="26" spans="1:8" ht="15.75" customHeight="1">
      <c r="A26" s="8">
        <v>25</v>
      </c>
      <c r="B26" s="17">
        <v>9</v>
      </c>
      <c r="C26" s="17">
        <v>8</v>
      </c>
      <c r="D26" s="6">
        <f t="shared" si="0"/>
        <v>1.125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8.6199999999999992</v>
      </c>
      <c r="C27" s="5">
        <f t="shared" si="1"/>
        <v>7.14</v>
      </c>
      <c r="D27" s="9">
        <f t="shared" si="1"/>
        <v>1.207791344878032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6.5</v>
      </c>
      <c r="C28" s="5">
        <f t="shared" si="2"/>
        <v>6</v>
      </c>
      <c r="D28" s="9">
        <f t="shared" si="2"/>
        <v>1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12</v>
      </c>
      <c r="C29" s="5">
        <f t="shared" si="3"/>
        <v>9.5</v>
      </c>
      <c r="D29" s="9">
        <f t="shared" si="3"/>
        <v>1.6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10" ht="15.75" customHeight="1">
      <c r="A33" s="4">
        <v>1</v>
      </c>
      <c r="B33" s="17">
        <v>34</v>
      </c>
      <c r="C33" s="17">
        <v>8</v>
      </c>
      <c r="D33" s="13">
        <v>4</v>
      </c>
      <c r="E33" s="17">
        <v>5</v>
      </c>
      <c r="F33" s="7"/>
      <c r="G33" s="7"/>
      <c r="H33" s="7"/>
    </row>
    <row r="34" spans="1:10" ht="15.75" customHeight="1">
      <c r="A34" s="4">
        <v>2</v>
      </c>
      <c r="B34" s="17">
        <v>34</v>
      </c>
      <c r="C34" s="17">
        <v>10</v>
      </c>
      <c r="D34" s="13">
        <v>4</v>
      </c>
      <c r="E34" s="17">
        <v>4</v>
      </c>
      <c r="F34" s="7"/>
      <c r="G34" s="7"/>
      <c r="H34" s="7"/>
    </row>
    <row r="35" spans="1:10" ht="15.75" customHeight="1">
      <c r="A35" s="4">
        <v>3</v>
      </c>
      <c r="B35" s="17">
        <v>37</v>
      </c>
      <c r="C35" s="17">
        <v>11</v>
      </c>
      <c r="D35" s="13">
        <v>4</v>
      </c>
      <c r="E35" s="14">
        <v>4.5</v>
      </c>
      <c r="F35" s="7"/>
      <c r="G35" s="7"/>
      <c r="H35" s="14" t="s">
        <v>160</v>
      </c>
    </row>
    <row r="36" spans="1:10" ht="15.75" customHeight="1">
      <c r="A36" s="4">
        <v>4</v>
      </c>
      <c r="B36" s="17" t="s">
        <v>161</v>
      </c>
      <c r="C36" s="17">
        <v>7</v>
      </c>
      <c r="D36" s="13">
        <v>1</v>
      </c>
      <c r="E36" s="17">
        <v>8</v>
      </c>
      <c r="F36" s="7"/>
      <c r="G36" s="7"/>
      <c r="H36" s="14" t="s">
        <v>162</v>
      </c>
      <c r="J36" s="1" t="s">
        <v>163</v>
      </c>
    </row>
    <row r="37" spans="1:10" ht="15.75" customHeight="1">
      <c r="A37" s="4">
        <v>5</v>
      </c>
      <c r="B37" s="17" t="s">
        <v>161</v>
      </c>
      <c r="C37" s="17">
        <v>9</v>
      </c>
      <c r="D37" s="13">
        <v>2</v>
      </c>
      <c r="E37" s="17">
        <v>4</v>
      </c>
      <c r="F37" s="7"/>
      <c r="G37" s="7"/>
      <c r="H37" s="14" t="s">
        <v>164</v>
      </c>
    </row>
    <row r="38" spans="1:10" ht="15.75" customHeight="1">
      <c r="A38" s="4">
        <v>6</v>
      </c>
      <c r="B38" s="17">
        <v>39</v>
      </c>
      <c r="C38" s="17">
        <v>10.5</v>
      </c>
      <c r="D38" s="13">
        <v>4</v>
      </c>
      <c r="E38" s="17">
        <v>5.5</v>
      </c>
      <c r="F38" s="7"/>
      <c r="G38" s="7"/>
      <c r="H38" s="7"/>
    </row>
    <row r="39" spans="1:10" ht="15.75" customHeight="1">
      <c r="A39" s="4">
        <v>7</v>
      </c>
      <c r="B39" s="17">
        <v>39</v>
      </c>
      <c r="C39" s="17">
        <v>14</v>
      </c>
      <c r="D39" s="13">
        <v>4</v>
      </c>
      <c r="E39" s="17">
        <v>5</v>
      </c>
      <c r="F39" s="7"/>
      <c r="G39" s="7"/>
      <c r="H39" s="7"/>
    </row>
    <row r="40" spans="1:10" ht="15.75" customHeight="1">
      <c r="A40" s="4">
        <v>8</v>
      </c>
      <c r="B40" s="17">
        <v>40</v>
      </c>
      <c r="C40" s="17">
        <v>9</v>
      </c>
      <c r="D40" s="13">
        <v>2</v>
      </c>
      <c r="E40" s="17">
        <v>5.5</v>
      </c>
      <c r="F40" s="7"/>
      <c r="G40" s="7"/>
      <c r="H40" s="7"/>
    </row>
    <row r="41" spans="1:10" ht="15.75" customHeight="1">
      <c r="A41" s="4">
        <v>9</v>
      </c>
      <c r="B41" s="17">
        <v>40</v>
      </c>
      <c r="C41" s="17">
        <v>10</v>
      </c>
      <c r="D41" s="13">
        <v>4</v>
      </c>
      <c r="E41" s="17">
        <v>5</v>
      </c>
      <c r="F41" s="7"/>
      <c r="G41" s="7"/>
      <c r="H41" s="7"/>
    </row>
    <row r="42" spans="1:10" ht="15.75" customHeight="1">
      <c r="A42" s="4">
        <v>10</v>
      </c>
      <c r="B42" s="5"/>
      <c r="C42" s="5"/>
      <c r="D42" s="13">
        <v>4</v>
      </c>
      <c r="E42" s="5"/>
      <c r="F42" s="7"/>
      <c r="G42" s="7"/>
      <c r="H42" s="7"/>
    </row>
    <row r="43" spans="1:10" ht="15.75" customHeight="1">
      <c r="A43" s="8">
        <v>11</v>
      </c>
      <c r="B43" s="5"/>
      <c r="C43" s="5"/>
      <c r="D43" s="13">
        <v>4</v>
      </c>
      <c r="E43" s="5"/>
      <c r="F43" s="7"/>
      <c r="G43" s="7"/>
      <c r="H43" s="7"/>
    </row>
    <row r="44" spans="1:10" ht="15.75" customHeight="1">
      <c r="A44" s="8">
        <v>12</v>
      </c>
      <c r="D44" s="12">
        <v>2</v>
      </c>
      <c r="F44" s="7"/>
      <c r="G44" s="7"/>
      <c r="H44" s="7"/>
    </row>
    <row r="45" spans="1:10" ht="15.75" customHeight="1">
      <c r="A45" s="8">
        <v>13</v>
      </c>
      <c r="D45" s="12">
        <v>4</v>
      </c>
      <c r="F45" s="7"/>
      <c r="G45" s="7"/>
      <c r="H45" s="7"/>
    </row>
    <row r="46" spans="1:10" ht="15.75" customHeight="1">
      <c r="A46" s="8">
        <v>14</v>
      </c>
      <c r="D46" s="12">
        <v>4</v>
      </c>
      <c r="F46" s="7"/>
      <c r="G46" s="7"/>
      <c r="H46" s="7"/>
    </row>
    <row r="47" spans="1:10" ht="15.75" customHeight="1">
      <c r="A47" s="8">
        <v>15</v>
      </c>
      <c r="D47" s="12">
        <v>4</v>
      </c>
      <c r="F47" s="7"/>
      <c r="G47" s="7"/>
      <c r="H47" s="7"/>
    </row>
    <row r="48" spans="1:10" ht="15.75" customHeight="1">
      <c r="A48" s="8">
        <v>16</v>
      </c>
      <c r="D48" s="12">
        <v>2</v>
      </c>
      <c r="F48" s="7"/>
      <c r="G48" s="7"/>
      <c r="H48" s="7"/>
    </row>
    <row r="49" spans="1:8" ht="15.75" customHeight="1">
      <c r="A49" s="8">
        <v>17</v>
      </c>
      <c r="D49" s="12">
        <v>2</v>
      </c>
      <c r="F49" s="7"/>
      <c r="G49" s="7"/>
      <c r="H49" s="7"/>
    </row>
    <row r="50" spans="1:8" ht="15.75" customHeight="1">
      <c r="A50" s="8">
        <v>18</v>
      </c>
      <c r="D50" s="12">
        <v>2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37.571428571428569</v>
      </c>
      <c r="C58" s="5">
        <f t="shared" si="4"/>
        <v>9.8333333333333339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34</v>
      </c>
      <c r="C59" s="5">
        <f t="shared" si="5"/>
        <v>7</v>
      </c>
      <c r="D59" s="11">
        <f t="shared" si="5"/>
        <v>1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40</v>
      </c>
      <c r="C60" s="5">
        <f t="shared" si="6"/>
        <v>14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19">
        <v>1</v>
      </c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6</v>
      </c>
      <c r="C65" s="7"/>
      <c r="D65" s="10"/>
      <c r="E65" s="7"/>
      <c r="F65" s="7"/>
      <c r="G65" s="7"/>
      <c r="H65" s="7"/>
    </row>
    <row r="66" spans="1:8" ht="14">
      <c r="A66" s="2"/>
      <c r="B66" s="14">
        <v>3</v>
      </c>
      <c r="C66" s="7"/>
      <c r="D66" s="10"/>
      <c r="E66" s="7"/>
      <c r="F66" s="7"/>
      <c r="G66" s="7"/>
      <c r="H66" s="7"/>
    </row>
    <row r="67" spans="1:8" ht="14">
      <c r="A67" s="2"/>
      <c r="B67" s="14">
        <v>7</v>
      </c>
      <c r="C67" s="7"/>
      <c r="D67" s="10"/>
      <c r="E67" s="7"/>
      <c r="F67" s="7"/>
      <c r="G67" s="7"/>
      <c r="H67" s="7"/>
    </row>
    <row r="68" spans="1:8" ht="14">
      <c r="A68" s="2"/>
      <c r="B68" s="14">
        <v>6</v>
      </c>
      <c r="C68" s="7"/>
      <c r="D68" s="10"/>
      <c r="E68" s="7"/>
      <c r="F68" s="7"/>
      <c r="G68" s="7"/>
      <c r="H68" s="7"/>
    </row>
    <row r="69" spans="1:8" ht="14">
      <c r="A69" s="2"/>
      <c r="B69" s="14">
        <v>5.5</v>
      </c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14" t="s">
        <v>108</v>
      </c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165</v>
      </c>
      <c r="D72" s="16"/>
    </row>
    <row r="73" spans="1:8" ht="14">
      <c r="A73" s="2"/>
      <c r="D73" s="16"/>
    </row>
    <row r="74" spans="1:8" ht="14">
      <c r="A74" s="2"/>
      <c r="D74" s="16"/>
    </row>
  </sheetData>
  <mergeCells count="2">
    <mergeCell ref="E17:E23"/>
    <mergeCell ref="D62:E6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I74"/>
  <sheetViews>
    <sheetView workbookViewId="0"/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9</v>
      </c>
      <c r="C2" s="17">
        <v>8</v>
      </c>
      <c r="D2" s="6">
        <f t="shared" ref="D2:D26" si="0">B2/C2</f>
        <v>1.125</v>
      </c>
      <c r="E2" s="7"/>
      <c r="F2" s="7"/>
      <c r="G2" s="14" t="s">
        <v>166</v>
      </c>
      <c r="H2" s="7"/>
    </row>
    <row r="3" spans="1:8" ht="15.75" customHeight="1">
      <c r="A3" s="4">
        <v>2</v>
      </c>
      <c r="B3" s="17">
        <v>8.5</v>
      </c>
      <c r="C3" s="17">
        <v>8</v>
      </c>
      <c r="D3" s="6">
        <f t="shared" si="0"/>
        <v>1.0625</v>
      </c>
      <c r="E3" s="7"/>
      <c r="F3" s="7"/>
      <c r="G3" s="7"/>
      <c r="H3" s="7"/>
    </row>
    <row r="4" spans="1:8" ht="15.75" customHeight="1">
      <c r="A4" s="4">
        <v>3</v>
      </c>
      <c r="B4" s="17">
        <v>8</v>
      </c>
      <c r="C4" s="17">
        <v>7.5</v>
      </c>
      <c r="D4" s="6">
        <f t="shared" si="0"/>
        <v>1.0666666666666667</v>
      </c>
      <c r="E4" s="7"/>
      <c r="F4" s="7"/>
      <c r="G4" s="7"/>
      <c r="H4" s="7"/>
    </row>
    <row r="5" spans="1:8" ht="15.75" customHeight="1">
      <c r="A5" s="4">
        <v>4</v>
      </c>
      <c r="B5" s="17">
        <v>7.5</v>
      </c>
      <c r="C5" s="17">
        <v>7</v>
      </c>
      <c r="D5" s="6">
        <f t="shared" si="0"/>
        <v>1.0714285714285714</v>
      </c>
      <c r="E5" s="7"/>
      <c r="F5" s="7"/>
      <c r="G5" s="7"/>
      <c r="H5" s="7"/>
    </row>
    <row r="6" spans="1:8" ht="15.75" customHeight="1">
      <c r="A6" s="4">
        <v>5</v>
      </c>
      <c r="B6" s="17">
        <v>8.5</v>
      </c>
      <c r="C6" s="17">
        <v>7.5</v>
      </c>
      <c r="D6" s="6">
        <f t="shared" si="0"/>
        <v>1.1333333333333333</v>
      </c>
      <c r="E6" s="7"/>
      <c r="F6" s="7"/>
      <c r="G6" s="7"/>
      <c r="H6" s="7"/>
    </row>
    <row r="7" spans="1:8" ht="15.75" customHeight="1">
      <c r="A7" s="4">
        <v>6</v>
      </c>
      <c r="B7" s="17">
        <v>7</v>
      </c>
      <c r="C7" s="17">
        <v>7</v>
      </c>
      <c r="D7" s="6">
        <f t="shared" si="0"/>
        <v>1</v>
      </c>
      <c r="E7" s="7"/>
      <c r="F7" s="7"/>
      <c r="G7" s="7"/>
      <c r="H7" s="7"/>
    </row>
    <row r="8" spans="1:8" ht="15.75" customHeight="1">
      <c r="A8" s="4">
        <v>7</v>
      </c>
      <c r="B8" s="17">
        <v>8.5</v>
      </c>
      <c r="C8" s="17">
        <v>7.5</v>
      </c>
      <c r="D8" s="6">
        <f t="shared" si="0"/>
        <v>1.1333333333333333</v>
      </c>
      <c r="E8" s="7"/>
      <c r="F8" s="7"/>
      <c r="G8" s="7"/>
      <c r="H8" s="7"/>
    </row>
    <row r="9" spans="1:8" ht="15.75" customHeight="1">
      <c r="A9" s="4">
        <v>8</v>
      </c>
      <c r="B9" s="17">
        <v>10</v>
      </c>
      <c r="C9" s="17">
        <v>9</v>
      </c>
      <c r="D9" s="6">
        <f t="shared" si="0"/>
        <v>1.1111111111111112</v>
      </c>
      <c r="E9" s="7"/>
      <c r="F9" s="7"/>
      <c r="G9" s="7"/>
      <c r="H9" s="7"/>
    </row>
    <row r="10" spans="1:8" ht="15.75" customHeight="1">
      <c r="A10" s="4">
        <v>9</v>
      </c>
      <c r="B10" s="17">
        <v>7</v>
      </c>
      <c r="C10" s="17">
        <v>6.5</v>
      </c>
      <c r="D10" s="6">
        <f t="shared" si="0"/>
        <v>1.0769230769230769</v>
      </c>
      <c r="E10" s="7"/>
      <c r="F10" s="7"/>
      <c r="G10" s="7"/>
      <c r="H10" s="7"/>
    </row>
    <row r="11" spans="1:8" ht="15.75" customHeight="1">
      <c r="A11" s="4">
        <v>10</v>
      </c>
      <c r="B11" s="17">
        <v>9</v>
      </c>
      <c r="C11" s="17">
        <v>8</v>
      </c>
      <c r="D11" s="6">
        <f t="shared" si="0"/>
        <v>1.125</v>
      </c>
      <c r="E11" s="7"/>
      <c r="F11" s="7"/>
      <c r="G11" s="7"/>
      <c r="H11" s="7"/>
    </row>
    <row r="12" spans="1:8" ht="15.75" customHeight="1">
      <c r="A12" s="8">
        <v>11</v>
      </c>
      <c r="B12" s="17">
        <v>8</v>
      </c>
      <c r="C12" s="17">
        <v>6.5</v>
      </c>
      <c r="D12" s="6">
        <f t="shared" si="0"/>
        <v>1.2307692307692308</v>
      </c>
      <c r="E12" s="7"/>
      <c r="F12" s="7"/>
      <c r="G12" s="7"/>
      <c r="H12" s="7"/>
    </row>
    <row r="13" spans="1:8" ht="15.75" customHeight="1">
      <c r="A13" s="8">
        <v>12</v>
      </c>
      <c r="B13" s="17">
        <v>8</v>
      </c>
      <c r="C13" s="17">
        <v>7</v>
      </c>
      <c r="D13" s="6">
        <f t="shared" si="0"/>
        <v>1.1428571428571428</v>
      </c>
      <c r="E13" s="7"/>
      <c r="F13" s="7"/>
      <c r="G13" s="7"/>
      <c r="H13" s="7"/>
    </row>
    <row r="14" spans="1:8" ht="15.75" customHeight="1">
      <c r="A14" s="8">
        <v>13</v>
      </c>
      <c r="B14" s="17">
        <v>8</v>
      </c>
      <c r="C14" s="17">
        <v>7.5</v>
      </c>
      <c r="D14" s="6">
        <f t="shared" si="0"/>
        <v>1.0666666666666667</v>
      </c>
      <c r="E14" s="7"/>
      <c r="F14" s="7"/>
      <c r="G14" s="7"/>
      <c r="H14" s="7"/>
    </row>
    <row r="15" spans="1:8" ht="15.75" customHeight="1">
      <c r="A15" s="8">
        <v>14</v>
      </c>
      <c r="B15" s="17">
        <v>8</v>
      </c>
      <c r="C15" s="17">
        <v>8</v>
      </c>
      <c r="D15" s="6">
        <f t="shared" si="0"/>
        <v>1</v>
      </c>
      <c r="E15" s="7"/>
      <c r="F15" s="7"/>
      <c r="G15" s="7"/>
      <c r="H15" s="7"/>
    </row>
    <row r="16" spans="1:8" ht="15.75" customHeight="1">
      <c r="A16" s="8">
        <v>15</v>
      </c>
      <c r="B16" s="17">
        <v>8.5</v>
      </c>
      <c r="C16" s="17">
        <v>7.5</v>
      </c>
      <c r="D16" s="6">
        <f t="shared" si="0"/>
        <v>1.1333333333333333</v>
      </c>
      <c r="E16" s="7"/>
      <c r="F16" s="7"/>
      <c r="G16" s="7"/>
      <c r="H16" s="7"/>
    </row>
    <row r="17" spans="1:9" ht="15.75" customHeight="1">
      <c r="A17" s="8">
        <v>16</v>
      </c>
      <c r="B17" s="17">
        <v>7</v>
      </c>
      <c r="C17" s="17">
        <v>6.5</v>
      </c>
      <c r="D17" s="6">
        <f t="shared" si="0"/>
        <v>1.0769230769230769</v>
      </c>
      <c r="E17" s="7"/>
      <c r="F17" s="7"/>
      <c r="G17" s="7"/>
      <c r="H17" s="7"/>
    </row>
    <row r="18" spans="1:9" ht="15.75" customHeight="1">
      <c r="A18" s="8">
        <v>17</v>
      </c>
      <c r="B18" s="17">
        <v>7</v>
      </c>
      <c r="C18" s="17">
        <v>7.5</v>
      </c>
      <c r="D18" s="6">
        <f t="shared" si="0"/>
        <v>0.93333333333333335</v>
      </c>
      <c r="E18" s="7"/>
      <c r="F18" s="7"/>
      <c r="G18" s="7"/>
      <c r="H18" s="7"/>
    </row>
    <row r="19" spans="1:9" ht="15.75" customHeight="1">
      <c r="A19" s="8">
        <v>18</v>
      </c>
      <c r="B19" s="17">
        <v>8</v>
      </c>
      <c r="C19" s="17">
        <v>7</v>
      </c>
      <c r="D19" s="6">
        <f t="shared" si="0"/>
        <v>1.1428571428571428</v>
      </c>
      <c r="E19" s="7"/>
      <c r="F19" s="7"/>
      <c r="G19" s="7"/>
      <c r="H19" s="7"/>
    </row>
    <row r="20" spans="1:9" ht="15.75" customHeight="1">
      <c r="A20" s="8">
        <v>19</v>
      </c>
      <c r="B20" s="17">
        <v>8</v>
      </c>
      <c r="C20" s="17">
        <v>7</v>
      </c>
      <c r="D20" s="6">
        <f t="shared" si="0"/>
        <v>1.1428571428571428</v>
      </c>
      <c r="E20" s="7"/>
      <c r="F20" s="7"/>
      <c r="G20" s="7"/>
      <c r="H20" s="7"/>
      <c r="I20" s="1" t="s">
        <v>167</v>
      </c>
    </row>
    <row r="21" spans="1:9" ht="15.75" customHeight="1">
      <c r="A21" s="8">
        <v>20</v>
      </c>
      <c r="B21" s="17">
        <v>8</v>
      </c>
      <c r="C21" s="17">
        <v>7</v>
      </c>
      <c r="D21" s="6">
        <f t="shared" si="0"/>
        <v>1.1428571428571428</v>
      </c>
      <c r="E21" s="7"/>
      <c r="F21" s="7"/>
      <c r="G21" s="7"/>
      <c r="H21" s="7"/>
    </row>
    <row r="22" spans="1:9" ht="15.75" customHeight="1">
      <c r="A22" s="8">
        <v>21</v>
      </c>
      <c r="B22" s="17">
        <v>8</v>
      </c>
      <c r="C22" s="17">
        <v>7.5</v>
      </c>
      <c r="D22" s="6">
        <f t="shared" si="0"/>
        <v>1.0666666666666667</v>
      </c>
      <c r="E22" s="7"/>
      <c r="F22" s="7"/>
      <c r="G22" s="7"/>
      <c r="H22" s="7"/>
    </row>
    <row r="23" spans="1:9" ht="15.75" customHeight="1">
      <c r="A23" s="8">
        <v>22</v>
      </c>
      <c r="B23" s="17">
        <v>8</v>
      </c>
      <c r="C23" s="17">
        <v>6</v>
      </c>
      <c r="D23" s="6">
        <f t="shared" si="0"/>
        <v>1.3333333333333333</v>
      </c>
      <c r="E23" s="7"/>
      <c r="F23" s="7"/>
      <c r="G23" s="7"/>
      <c r="H23" s="7"/>
    </row>
    <row r="24" spans="1:9" ht="15.75" customHeight="1">
      <c r="A24" s="8">
        <v>23</v>
      </c>
      <c r="B24" s="17">
        <v>8</v>
      </c>
      <c r="C24" s="17">
        <v>7</v>
      </c>
      <c r="D24" s="6">
        <f t="shared" si="0"/>
        <v>1.1428571428571428</v>
      </c>
      <c r="E24" s="7"/>
      <c r="F24" s="7"/>
      <c r="G24" s="7"/>
      <c r="H24" s="7"/>
    </row>
    <row r="25" spans="1:9" ht="15.75" customHeight="1">
      <c r="A25" s="8">
        <v>24</v>
      </c>
      <c r="B25" s="17">
        <v>7.5</v>
      </c>
      <c r="C25" s="17">
        <v>7</v>
      </c>
      <c r="D25" s="6">
        <f t="shared" si="0"/>
        <v>1.0714285714285714</v>
      </c>
      <c r="E25" s="7"/>
      <c r="F25" s="7"/>
      <c r="G25" s="7"/>
      <c r="H25" s="7"/>
    </row>
    <row r="26" spans="1:9" ht="15.75" customHeight="1">
      <c r="A26" s="8">
        <v>25</v>
      </c>
      <c r="B26" s="17">
        <v>9</v>
      </c>
      <c r="C26" s="17">
        <v>8</v>
      </c>
      <c r="D26" s="6">
        <f t="shared" si="0"/>
        <v>1.125</v>
      </c>
      <c r="E26" s="7"/>
      <c r="F26" s="7"/>
      <c r="G26" s="7"/>
      <c r="H26" s="7"/>
    </row>
    <row r="27" spans="1:9" ht="15.75" customHeight="1">
      <c r="A27" s="4" t="s">
        <v>10</v>
      </c>
      <c r="B27" s="9">
        <f t="shared" ref="B27:D27" si="1">AVERAGE(B2:B26)</f>
        <v>8.08</v>
      </c>
      <c r="C27" s="9">
        <f t="shared" si="1"/>
        <v>7.32</v>
      </c>
      <c r="D27" s="9">
        <f t="shared" si="1"/>
        <v>1.1062814407814405</v>
      </c>
      <c r="E27" s="7"/>
      <c r="F27" s="7"/>
      <c r="G27" s="7"/>
      <c r="H27" s="7"/>
    </row>
    <row r="28" spans="1:9" ht="15.75" customHeight="1">
      <c r="A28" s="4" t="s">
        <v>11</v>
      </c>
      <c r="B28" s="5">
        <f t="shared" ref="B28:D28" si="2">MIN(B3:B26)</f>
        <v>7</v>
      </c>
      <c r="C28" s="5">
        <f t="shared" si="2"/>
        <v>6</v>
      </c>
      <c r="D28" s="9">
        <f t="shared" si="2"/>
        <v>0.93333333333333335</v>
      </c>
      <c r="E28" s="7"/>
      <c r="F28" s="7"/>
      <c r="G28" s="7"/>
      <c r="H28" s="7"/>
    </row>
    <row r="29" spans="1:9" ht="15.75" customHeight="1">
      <c r="A29" s="4" t="s">
        <v>12</v>
      </c>
      <c r="B29" s="5">
        <f t="shared" ref="B29:D29" si="3">MAX(B4:B26)</f>
        <v>10</v>
      </c>
      <c r="C29" s="5">
        <f t="shared" si="3"/>
        <v>9</v>
      </c>
      <c r="D29" s="9">
        <f t="shared" si="3"/>
        <v>1.3333333333333333</v>
      </c>
      <c r="E29" s="7"/>
      <c r="F29" s="7"/>
      <c r="G29" s="7"/>
      <c r="H29" s="7"/>
    </row>
    <row r="30" spans="1:9" ht="15.75" customHeight="1">
      <c r="A30" s="2"/>
      <c r="B30" s="7"/>
      <c r="C30" s="7"/>
      <c r="D30" s="10"/>
      <c r="E30" s="7"/>
      <c r="F30" s="7"/>
      <c r="G30" s="7"/>
      <c r="H30" s="7"/>
    </row>
    <row r="31" spans="1:9" ht="15.75" customHeight="1">
      <c r="A31" s="2"/>
      <c r="B31" s="7"/>
      <c r="C31" s="7"/>
      <c r="D31" s="10"/>
      <c r="E31" s="7"/>
      <c r="F31" s="7"/>
      <c r="G31" s="7"/>
      <c r="H31" s="7"/>
    </row>
    <row r="32" spans="1:9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9" ht="15.75" customHeight="1">
      <c r="A33" s="4">
        <v>1</v>
      </c>
      <c r="B33" s="17">
        <v>43</v>
      </c>
      <c r="C33" s="17">
        <v>13.5</v>
      </c>
      <c r="D33" s="13">
        <v>4</v>
      </c>
      <c r="E33" s="17">
        <v>3.5</v>
      </c>
      <c r="F33" s="7"/>
      <c r="G33" s="7"/>
      <c r="H33" s="14" t="s">
        <v>168</v>
      </c>
      <c r="I33" s="1" t="s">
        <v>169</v>
      </c>
    </row>
    <row r="34" spans="1:9" ht="15.75" customHeight="1">
      <c r="A34" s="4">
        <v>2</v>
      </c>
      <c r="B34" s="17">
        <v>38</v>
      </c>
      <c r="C34" s="17">
        <v>9</v>
      </c>
      <c r="D34" s="13">
        <v>4</v>
      </c>
      <c r="E34" s="17">
        <v>5.5</v>
      </c>
      <c r="F34" s="7"/>
      <c r="G34" s="7"/>
      <c r="H34" s="7"/>
    </row>
    <row r="35" spans="1:9" ht="15.75" customHeight="1">
      <c r="A35" s="4">
        <v>3</v>
      </c>
      <c r="B35" s="17">
        <v>38</v>
      </c>
      <c r="C35" s="17">
        <v>12</v>
      </c>
      <c r="D35" s="13">
        <v>4</v>
      </c>
      <c r="E35" s="14">
        <v>5.5</v>
      </c>
      <c r="F35" s="7"/>
      <c r="G35" s="7"/>
      <c r="H35" s="14" t="s">
        <v>170</v>
      </c>
      <c r="I35" s="1" t="s">
        <v>171</v>
      </c>
    </row>
    <row r="36" spans="1:9" ht="15.75" customHeight="1">
      <c r="A36" s="4">
        <v>4</v>
      </c>
      <c r="B36" s="17">
        <v>35.5</v>
      </c>
      <c r="C36" s="17">
        <v>12</v>
      </c>
      <c r="D36" s="13">
        <v>4</v>
      </c>
      <c r="E36" s="17">
        <v>4.5</v>
      </c>
      <c r="F36" s="7"/>
      <c r="G36" s="7"/>
      <c r="H36" s="7"/>
    </row>
    <row r="37" spans="1:9" ht="15.75" customHeight="1">
      <c r="A37" s="4">
        <v>5</v>
      </c>
      <c r="B37" s="17">
        <v>42.5</v>
      </c>
      <c r="C37" s="17">
        <v>11.5</v>
      </c>
      <c r="D37" s="13">
        <v>4</v>
      </c>
      <c r="E37" s="17">
        <v>4</v>
      </c>
      <c r="F37" s="7"/>
      <c r="G37" s="7"/>
      <c r="H37" s="7"/>
    </row>
    <row r="38" spans="1:9" ht="15.75" customHeight="1">
      <c r="A38" s="4">
        <v>6</v>
      </c>
      <c r="B38" s="17">
        <v>33</v>
      </c>
      <c r="C38" s="17">
        <v>11.5</v>
      </c>
      <c r="D38" s="13">
        <v>4</v>
      </c>
      <c r="E38" s="17">
        <v>5</v>
      </c>
      <c r="F38" s="7"/>
      <c r="G38" s="7"/>
      <c r="H38" s="7"/>
    </row>
    <row r="39" spans="1:9" ht="15.75" customHeight="1">
      <c r="A39" s="4">
        <v>7</v>
      </c>
      <c r="B39" s="17">
        <v>35.5</v>
      </c>
      <c r="C39" s="17">
        <v>10.5</v>
      </c>
      <c r="D39" s="13">
        <v>4</v>
      </c>
      <c r="E39" s="17">
        <v>4</v>
      </c>
      <c r="F39" s="7"/>
      <c r="G39" s="7"/>
      <c r="H39" s="7"/>
    </row>
    <row r="40" spans="1:9" ht="15.75" customHeight="1">
      <c r="A40" s="4">
        <v>8</v>
      </c>
      <c r="B40" s="17">
        <v>40</v>
      </c>
      <c r="C40" s="17">
        <v>13</v>
      </c>
      <c r="D40" s="13">
        <v>4</v>
      </c>
      <c r="E40" s="17">
        <v>5</v>
      </c>
      <c r="F40" s="7"/>
      <c r="G40" s="7"/>
      <c r="H40" s="7"/>
    </row>
    <row r="41" spans="1:9" ht="15.75" customHeight="1">
      <c r="A41" s="4">
        <v>9</v>
      </c>
      <c r="B41" s="17">
        <v>37.5</v>
      </c>
      <c r="C41" s="17">
        <v>10</v>
      </c>
      <c r="D41" s="13">
        <v>4</v>
      </c>
      <c r="E41" s="17">
        <v>5</v>
      </c>
      <c r="F41" s="7"/>
      <c r="G41" s="7"/>
      <c r="H41" s="7"/>
    </row>
    <row r="42" spans="1:9" ht="15.75" customHeight="1">
      <c r="A42" s="4">
        <v>10</v>
      </c>
      <c r="B42" s="17">
        <v>38.5</v>
      </c>
      <c r="C42" s="17">
        <v>11</v>
      </c>
      <c r="D42" s="13">
        <v>4</v>
      </c>
      <c r="E42" s="17">
        <v>5.5</v>
      </c>
      <c r="F42" s="7"/>
      <c r="G42" s="7"/>
      <c r="H42" s="7"/>
    </row>
    <row r="43" spans="1:9" ht="15.75" customHeight="1">
      <c r="A43" s="8">
        <v>11</v>
      </c>
      <c r="B43" s="5"/>
      <c r="C43" s="5"/>
      <c r="D43" s="13">
        <v>4</v>
      </c>
      <c r="E43" s="5"/>
      <c r="F43" s="7"/>
      <c r="G43" s="7"/>
      <c r="H43" s="7"/>
    </row>
    <row r="44" spans="1:9" ht="15.75" customHeight="1">
      <c r="A44" s="8">
        <v>12</v>
      </c>
      <c r="D44" s="12">
        <v>4</v>
      </c>
      <c r="F44" s="7"/>
      <c r="G44" s="7"/>
      <c r="H44" s="7"/>
    </row>
    <row r="45" spans="1:9" ht="15.75" customHeight="1">
      <c r="A45" s="8">
        <v>13</v>
      </c>
      <c r="D45" s="12">
        <v>4</v>
      </c>
      <c r="F45" s="7"/>
      <c r="G45" s="7"/>
      <c r="H45" s="7"/>
    </row>
    <row r="46" spans="1:9" ht="15.75" customHeight="1">
      <c r="A46" s="8">
        <v>14</v>
      </c>
      <c r="D46" s="12">
        <v>4</v>
      </c>
      <c r="F46" s="7"/>
      <c r="G46" s="7"/>
      <c r="H46" s="7"/>
    </row>
    <row r="47" spans="1:9" ht="15.75" customHeight="1">
      <c r="A47" s="8">
        <v>15</v>
      </c>
      <c r="D47" s="12">
        <v>4</v>
      </c>
      <c r="F47" s="7"/>
      <c r="G47" s="7"/>
      <c r="H47" s="7"/>
    </row>
    <row r="48" spans="1:9" ht="15.75" customHeight="1">
      <c r="A48" s="8">
        <v>16</v>
      </c>
      <c r="D48" s="12">
        <v>4</v>
      </c>
      <c r="F48" s="7"/>
      <c r="G48" s="7"/>
      <c r="H48" s="7"/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38.15</v>
      </c>
      <c r="C58" s="5">
        <f t="shared" si="4"/>
        <v>11.4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33</v>
      </c>
      <c r="C59" s="5">
        <f t="shared" si="5"/>
        <v>9</v>
      </c>
      <c r="D59" s="11">
        <f t="shared" si="5"/>
        <v>4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42.5</v>
      </c>
      <c r="C60" s="5">
        <f t="shared" si="6"/>
        <v>13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14" t="s">
        <v>172</v>
      </c>
      <c r="D63" s="18" t="s">
        <v>135</v>
      </c>
      <c r="E63" s="7"/>
      <c r="F63" s="14" t="s">
        <v>173</v>
      </c>
      <c r="G63" s="14" t="s">
        <v>174</v>
      </c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14" t="s">
        <v>175</v>
      </c>
      <c r="G64" s="14" t="s">
        <v>176</v>
      </c>
      <c r="H64" s="7"/>
    </row>
    <row r="65" spans="1:8" ht="14">
      <c r="A65" s="2"/>
      <c r="B65" s="7"/>
      <c r="C65" s="14">
        <v>76.5</v>
      </c>
      <c r="D65" s="18">
        <v>70.5</v>
      </c>
      <c r="E65" s="7"/>
      <c r="F65" s="7"/>
      <c r="G65" s="7"/>
      <c r="H65" s="7"/>
    </row>
    <row r="66" spans="1:8" ht="14">
      <c r="A66" s="2"/>
      <c r="B66" s="7"/>
      <c r="C66" s="14">
        <v>62.5</v>
      </c>
      <c r="D66" s="18">
        <v>60.5</v>
      </c>
      <c r="E66" s="7"/>
      <c r="F66" s="7"/>
      <c r="G66" s="7"/>
      <c r="H66" s="7"/>
    </row>
    <row r="67" spans="1:8" ht="14">
      <c r="A67" s="2"/>
      <c r="B67" s="7"/>
      <c r="C67" s="14">
        <v>41.5</v>
      </c>
      <c r="D67" s="18">
        <v>38</v>
      </c>
      <c r="E67" s="7"/>
      <c r="F67" s="7"/>
      <c r="G67" s="7"/>
      <c r="H67" s="7"/>
    </row>
    <row r="68" spans="1:8" ht="14">
      <c r="A68" s="2"/>
      <c r="B68" s="7"/>
      <c r="C68" s="14">
        <v>67.5</v>
      </c>
      <c r="D68" s="18">
        <v>70.5</v>
      </c>
      <c r="E68" s="7"/>
      <c r="F68" s="7"/>
      <c r="G68" s="7"/>
      <c r="H68" s="7"/>
    </row>
    <row r="69" spans="1:8" ht="14">
      <c r="A69" s="2"/>
      <c r="B69" s="7"/>
      <c r="C69" s="14">
        <v>34</v>
      </c>
      <c r="D69" s="18">
        <v>33</v>
      </c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 t="s">
        <v>72</v>
      </c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143</v>
      </c>
      <c r="D72" s="16"/>
    </row>
    <row r="73" spans="1:8" ht="14">
      <c r="A73" s="2"/>
      <c r="D73" s="16"/>
    </row>
    <row r="74" spans="1:8" ht="14">
      <c r="A74" s="2"/>
      <c r="D74" s="16"/>
    </row>
  </sheetData>
  <mergeCells count="1">
    <mergeCell ref="D62:E6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I74"/>
  <sheetViews>
    <sheetView workbookViewId="0"/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14.5</v>
      </c>
      <c r="C2" s="17">
        <v>13</v>
      </c>
      <c r="D2" s="6">
        <f t="shared" ref="D2:D26" si="0">B2/C2</f>
        <v>1.1153846153846154</v>
      </c>
      <c r="E2" s="25" t="s">
        <v>177</v>
      </c>
      <c r="F2" s="7"/>
      <c r="G2" s="14" t="s">
        <v>29</v>
      </c>
      <c r="H2" s="7"/>
      <c r="I2" s="1" t="s">
        <v>178</v>
      </c>
    </row>
    <row r="3" spans="1:9" ht="15.75" customHeight="1">
      <c r="A3" s="4">
        <v>2</v>
      </c>
      <c r="B3" s="17">
        <v>9.5</v>
      </c>
      <c r="C3" s="17">
        <v>9.5</v>
      </c>
      <c r="D3" s="6">
        <f t="shared" si="0"/>
        <v>1</v>
      </c>
      <c r="E3" s="24"/>
      <c r="F3" s="7"/>
      <c r="G3" s="7"/>
      <c r="H3" s="7"/>
    </row>
    <row r="4" spans="1:9" ht="15.75" customHeight="1">
      <c r="A4" s="4">
        <v>3</v>
      </c>
      <c r="B4" s="17">
        <v>10</v>
      </c>
      <c r="C4" s="17">
        <v>9.5</v>
      </c>
      <c r="D4" s="6">
        <f t="shared" si="0"/>
        <v>1.0526315789473684</v>
      </c>
      <c r="E4" s="24"/>
      <c r="F4" s="7"/>
      <c r="G4" s="7"/>
      <c r="H4" s="7"/>
    </row>
    <row r="5" spans="1:9" ht="15.75" customHeight="1">
      <c r="A5" s="4">
        <v>4</v>
      </c>
      <c r="B5" s="17">
        <v>10.5</v>
      </c>
      <c r="C5" s="17">
        <v>10</v>
      </c>
      <c r="D5" s="6">
        <f t="shared" si="0"/>
        <v>1.05</v>
      </c>
      <c r="E5" s="24"/>
      <c r="F5" s="7"/>
      <c r="G5" s="7"/>
      <c r="H5" s="7"/>
    </row>
    <row r="6" spans="1:9" ht="15.75" customHeight="1">
      <c r="A6" s="4">
        <v>5</v>
      </c>
      <c r="B6" s="17">
        <v>10</v>
      </c>
      <c r="C6" s="17">
        <v>8.5</v>
      </c>
      <c r="D6" s="6">
        <f t="shared" si="0"/>
        <v>1.1764705882352942</v>
      </c>
      <c r="E6" s="24"/>
      <c r="F6" s="7"/>
      <c r="G6" s="7"/>
      <c r="H6" s="7"/>
    </row>
    <row r="7" spans="1:9" ht="15.75" customHeight="1">
      <c r="A7" s="4">
        <v>6</v>
      </c>
      <c r="B7" s="17">
        <v>11</v>
      </c>
      <c r="C7" s="17">
        <v>9.5</v>
      </c>
      <c r="D7" s="6">
        <f t="shared" si="0"/>
        <v>1.1578947368421053</v>
      </c>
      <c r="E7" s="24"/>
      <c r="F7" s="7"/>
      <c r="G7" s="7"/>
      <c r="H7" s="7"/>
    </row>
    <row r="8" spans="1:9" ht="15.75" customHeight="1">
      <c r="A8" s="4">
        <v>7</v>
      </c>
      <c r="B8" s="17">
        <v>9.5</v>
      </c>
      <c r="C8" s="17">
        <v>10</v>
      </c>
      <c r="D8" s="6">
        <f t="shared" si="0"/>
        <v>0.95</v>
      </c>
      <c r="E8" s="24"/>
      <c r="F8" s="7"/>
      <c r="G8" s="7"/>
      <c r="H8" s="7"/>
    </row>
    <row r="9" spans="1:9" ht="15.75" customHeight="1">
      <c r="A9" s="4">
        <v>8</v>
      </c>
      <c r="B9" s="17">
        <v>9.5</v>
      </c>
      <c r="C9" s="17">
        <v>9</v>
      </c>
      <c r="D9" s="6">
        <f t="shared" si="0"/>
        <v>1.0555555555555556</v>
      </c>
      <c r="E9" s="24"/>
      <c r="F9" s="7"/>
      <c r="G9" s="7"/>
      <c r="H9" s="7"/>
    </row>
    <row r="10" spans="1:9" ht="15.75" customHeight="1">
      <c r="A10" s="4">
        <v>9</v>
      </c>
      <c r="B10" s="17">
        <v>9.5</v>
      </c>
      <c r="C10" s="17">
        <v>9</v>
      </c>
      <c r="D10" s="6">
        <f t="shared" si="0"/>
        <v>1.0555555555555556</v>
      </c>
      <c r="E10" s="24"/>
      <c r="F10" s="7"/>
      <c r="G10" s="7"/>
      <c r="H10" s="7"/>
    </row>
    <row r="11" spans="1:9" ht="15.75" customHeight="1">
      <c r="A11" s="4">
        <v>10</v>
      </c>
      <c r="B11" s="17">
        <v>10.5</v>
      </c>
      <c r="C11" s="17">
        <v>10</v>
      </c>
      <c r="D11" s="6">
        <f t="shared" si="0"/>
        <v>1.05</v>
      </c>
      <c r="E11" s="24"/>
      <c r="F11" s="7"/>
      <c r="G11" s="7"/>
      <c r="H11" s="7"/>
    </row>
    <row r="12" spans="1:9" ht="15.75" customHeight="1">
      <c r="A12" s="8">
        <v>11</v>
      </c>
      <c r="B12" s="17">
        <v>9.5</v>
      </c>
      <c r="C12" s="17">
        <v>9.5</v>
      </c>
      <c r="D12" s="6">
        <f t="shared" si="0"/>
        <v>1</v>
      </c>
      <c r="E12" s="24"/>
      <c r="F12" s="7"/>
      <c r="G12" s="7"/>
      <c r="H12" s="7"/>
    </row>
    <row r="13" spans="1:9" ht="15.75" customHeight="1">
      <c r="A13" s="8">
        <v>12</v>
      </c>
      <c r="B13" s="17">
        <v>8.5</v>
      </c>
      <c r="C13" s="17">
        <v>8.5</v>
      </c>
      <c r="D13" s="6">
        <f t="shared" si="0"/>
        <v>1</v>
      </c>
      <c r="E13" s="24"/>
      <c r="F13" s="7"/>
      <c r="G13" s="7"/>
      <c r="H13" s="7"/>
    </row>
    <row r="14" spans="1:9" ht="15.75" customHeight="1">
      <c r="A14" s="8">
        <v>13</v>
      </c>
      <c r="B14" s="17">
        <v>10.5</v>
      </c>
      <c r="C14" s="17">
        <v>9.5</v>
      </c>
      <c r="D14" s="6">
        <f t="shared" si="0"/>
        <v>1.1052631578947369</v>
      </c>
      <c r="E14" s="24"/>
      <c r="F14" s="7"/>
      <c r="G14" s="7"/>
      <c r="H14" s="7"/>
    </row>
    <row r="15" spans="1:9" ht="15.75" customHeight="1">
      <c r="A15" s="8">
        <v>14</v>
      </c>
      <c r="B15" s="17">
        <v>10.5</v>
      </c>
      <c r="C15" s="17">
        <v>10.5</v>
      </c>
      <c r="D15" s="6">
        <f t="shared" si="0"/>
        <v>1</v>
      </c>
      <c r="E15" s="24"/>
      <c r="F15" s="7"/>
      <c r="G15" s="7"/>
      <c r="H15" s="7"/>
    </row>
    <row r="16" spans="1:9" ht="15.75" customHeight="1">
      <c r="A16" s="8">
        <v>15</v>
      </c>
      <c r="B16" s="17">
        <v>9.5</v>
      </c>
      <c r="C16" s="17">
        <v>10.5</v>
      </c>
      <c r="D16" s="6">
        <f t="shared" si="0"/>
        <v>0.90476190476190477</v>
      </c>
      <c r="E16" s="24"/>
      <c r="F16" s="7"/>
      <c r="G16" s="7"/>
      <c r="H16" s="7"/>
    </row>
    <row r="17" spans="1:8" ht="15.75" customHeight="1">
      <c r="A17" s="8">
        <v>16</v>
      </c>
      <c r="B17" s="17">
        <v>11</v>
      </c>
      <c r="C17" s="17">
        <v>11</v>
      </c>
      <c r="D17" s="6">
        <f t="shared" si="0"/>
        <v>1</v>
      </c>
      <c r="E17" s="24"/>
      <c r="F17" s="7"/>
      <c r="G17" s="7"/>
      <c r="H17" s="7"/>
    </row>
    <row r="18" spans="1:8" ht="15.75" customHeight="1">
      <c r="A18" s="8">
        <v>17</v>
      </c>
      <c r="B18" s="17">
        <v>10</v>
      </c>
      <c r="C18" s="17">
        <v>9</v>
      </c>
      <c r="D18" s="6">
        <f t="shared" si="0"/>
        <v>1.1111111111111112</v>
      </c>
      <c r="E18" s="24"/>
      <c r="F18" s="7"/>
      <c r="G18" s="7"/>
      <c r="H18" s="7"/>
    </row>
    <row r="19" spans="1:8" ht="15.75" customHeight="1">
      <c r="A19" s="8">
        <v>18</v>
      </c>
      <c r="B19" s="17">
        <v>9.5</v>
      </c>
      <c r="C19" s="17">
        <v>9</v>
      </c>
      <c r="D19" s="6">
        <f t="shared" si="0"/>
        <v>1.0555555555555556</v>
      </c>
      <c r="E19" s="24"/>
      <c r="F19" s="7"/>
      <c r="G19" s="7"/>
      <c r="H19" s="7"/>
    </row>
    <row r="20" spans="1:8" ht="15.75" customHeight="1">
      <c r="A20" s="8">
        <v>19</v>
      </c>
      <c r="B20" s="17">
        <v>10.5</v>
      </c>
      <c r="C20" s="17">
        <v>9.5</v>
      </c>
      <c r="D20" s="6">
        <f t="shared" si="0"/>
        <v>1.1052631578947369</v>
      </c>
      <c r="E20" s="24"/>
      <c r="F20" s="7"/>
      <c r="G20" s="7"/>
      <c r="H20" s="7"/>
    </row>
    <row r="21" spans="1:8" ht="15.75" customHeight="1">
      <c r="A21" s="8">
        <v>20</v>
      </c>
      <c r="B21" s="17">
        <v>10.5</v>
      </c>
      <c r="C21" s="17">
        <v>10.5</v>
      </c>
      <c r="D21" s="6">
        <f t="shared" si="0"/>
        <v>1</v>
      </c>
      <c r="E21" s="24"/>
      <c r="F21" s="7"/>
      <c r="G21" s="7"/>
      <c r="H21" s="7"/>
    </row>
    <row r="22" spans="1:8" ht="15.75" customHeight="1">
      <c r="A22" s="8">
        <v>21</v>
      </c>
      <c r="B22" s="17">
        <v>9.5</v>
      </c>
      <c r="C22" s="17">
        <v>9</v>
      </c>
      <c r="D22" s="6">
        <f t="shared" si="0"/>
        <v>1.0555555555555556</v>
      </c>
      <c r="E22" s="24"/>
      <c r="F22" s="7"/>
      <c r="G22" s="7"/>
      <c r="H22" s="7"/>
    </row>
    <row r="23" spans="1:8" ht="15.75" customHeight="1">
      <c r="A23" s="8">
        <v>22</v>
      </c>
      <c r="B23" s="17">
        <v>11</v>
      </c>
      <c r="C23" s="17">
        <v>9</v>
      </c>
      <c r="D23" s="6">
        <f t="shared" si="0"/>
        <v>1.2222222222222223</v>
      </c>
      <c r="E23" s="25" t="s">
        <v>179</v>
      </c>
      <c r="F23" s="7"/>
      <c r="G23" s="7"/>
      <c r="H23" s="7"/>
    </row>
    <row r="24" spans="1:8" ht="15.75" customHeight="1">
      <c r="A24" s="8">
        <v>23</v>
      </c>
      <c r="B24" s="17">
        <v>9.5</v>
      </c>
      <c r="C24" s="17">
        <v>8.5</v>
      </c>
      <c r="D24" s="6">
        <f t="shared" si="0"/>
        <v>1.1176470588235294</v>
      </c>
      <c r="E24" s="24"/>
      <c r="F24" s="7"/>
      <c r="G24" s="7"/>
      <c r="H24" s="7"/>
    </row>
    <row r="25" spans="1:8" ht="15.75" customHeight="1">
      <c r="A25" s="8">
        <v>24</v>
      </c>
      <c r="B25" s="17">
        <v>9.5</v>
      </c>
      <c r="C25" s="17">
        <v>9.5</v>
      </c>
      <c r="D25" s="6">
        <f t="shared" si="0"/>
        <v>1</v>
      </c>
      <c r="E25" s="24"/>
      <c r="F25" s="7"/>
      <c r="G25" s="7"/>
      <c r="H25" s="7"/>
    </row>
    <row r="26" spans="1:8" ht="15.75" customHeight="1">
      <c r="A26" s="8">
        <v>25</v>
      </c>
      <c r="B26" s="17">
        <v>10</v>
      </c>
      <c r="C26" s="17">
        <v>9</v>
      </c>
      <c r="D26" s="6">
        <f t="shared" si="0"/>
        <v>1.1111111111111112</v>
      </c>
      <c r="E26" s="24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10.16</v>
      </c>
      <c r="C27" s="5">
        <f t="shared" si="1"/>
        <v>9.6199999999999992</v>
      </c>
      <c r="D27" s="9">
        <f t="shared" si="1"/>
        <v>1.0580793386180385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8.5</v>
      </c>
      <c r="C28" s="5">
        <f t="shared" si="2"/>
        <v>8.5</v>
      </c>
      <c r="D28" s="9">
        <f t="shared" si="2"/>
        <v>0.90476190476190477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11</v>
      </c>
      <c r="C29" s="5">
        <f t="shared" si="3"/>
        <v>11</v>
      </c>
      <c r="D29" s="9">
        <f t="shared" si="3"/>
        <v>1.2222222222222223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9" ht="15.75" customHeight="1">
      <c r="A33" s="4">
        <v>1</v>
      </c>
      <c r="B33" s="17">
        <v>44</v>
      </c>
      <c r="C33" s="17">
        <v>11</v>
      </c>
      <c r="D33" s="13">
        <v>4</v>
      </c>
      <c r="E33" s="17">
        <v>6</v>
      </c>
      <c r="F33" s="7"/>
      <c r="G33" s="7"/>
      <c r="H33" s="7"/>
    </row>
    <row r="34" spans="1:9" ht="15.75" customHeight="1">
      <c r="A34" s="4">
        <v>2</v>
      </c>
      <c r="B34" s="17">
        <v>56</v>
      </c>
      <c r="C34" s="17">
        <v>13</v>
      </c>
      <c r="D34" s="13">
        <v>4</v>
      </c>
      <c r="E34" s="17">
        <v>5</v>
      </c>
      <c r="F34" s="7"/>
      <c r="G34" s="7"/>
      <c r="H34" s="7"/>
    </row>
    <row r="35" spans="1:9" ht="15.75" customHeight="1">
      <c r="A35" s="4">
        <v>3</v>
      </c>
      <c r="B35" s="17">
        <v>58.5</v>
      </c>
      <c r="C35" s="17">
        <v>13.5</v>
      </c>
      <c r="D35" s="13">
        <v>4</v>
      </c>
      <c r="E35" s="14">
        <v>5</v>
      </c>
      <c r="F35" s="7"/>
      <c r="G35" s="7"/>
      <c r="H35" s="7"/>
    </row>
    <row r="36" spans="1:9" ht="15.75" customHeight="1">
      <c r="A36" s="4">
        <v>4</v>
      </c>
      <c r="B36" s="17">
        <v>52.5</v>
      </c>
      <c r="C36" s="17">
        <v>12.5</v>
      </c>
      <c r="D36" s="13">
        <v>4</v>
      </c>
      <c r="E36" s="13">
        <v>7</v>
      </c>
      <c r="F36" s="7"/>
      <c r="G36" s="7"/>
      <c r="H36" s="7"/>
    </row>
    <row r="37" spans="1:9" ht="15.75" customHeight="1">
      <c r="A37" s="4">
        <v>5</v>
      </c>
      <c r="B37" s="17">
        <v>52</v>
      </c>
      <c r="C37" s="17">
        <v>11</v>
      </c>
      <c r="D37" s="13">
        <v>4</v>
      </c>
      <c r="E37" s="17">
        <v>3.5</v>
      </c>
      <c r="F37" s="7"/>
      <c r="G37" s="7"/>
      <c r="H37" s="7"/>
    </row>
    <row r="38" spans="1:9" ht="15.75" customHeight="1">
      <c r="A38" s="4">
        <v>6</v>
      </c>
      <c r="B38" s="17">
        <v>51</v>
      </c>
      <c r="C38" s="17">
        <v>12.5</v>
      </c>
      <c r="D38" s="13">
        <v>4</v>
      </c>
      <c r="E38" s="17">
        <v>8</v>
      </c>
      <c r="F38" s="7"/>
      <c r="G38" s="7"/>
      <c r="H38" s="7"/>
    </row>
    <row r="39" spans="1:9" ht="15.75" customHeight="1">
      <c r="A39" s="4">
        <v>7</v>
      </c>
      <c r="B39" s="17">
        <v>50.5</v>
      </c>
      <c r="C39" s="17">
        <v>13</v>
      </c>
      <c r="D39" s="13">
        <v>4</v>
      </c>
      <c r="E39" s="17">
        <v>6.5</v>
      </c>
      <c r="F39" s="7"/>
      <c r="G39" s="7"/>
      <c r="H39" s="7"/>
    </row>
    <row r="40" spans="1:9" ht="15.75" customHeight="1">
      <c r="A40" s="4">
        <v>8</v>
      </c>
      <c r="B40" s="17">
        <v>67</v>
      </c>
      <c r="C40" s="17">
        <v>12</v>
      </c>
      <c r="D40" s="13">
        <v>4</v>
      </c>
      <c r="E40" s="17" t="s">
        <v>34</v>
      </c>
      <c r="F40" s="7"/>
      <c r="G40" s="7"/>
      <c r="H40" s="7"/>
    </row>
    <row r="41" spans="1:9" ht="15.75" customHeight="1">
      <c r="A41" s="4">
        <v>9</v>
      </c>
      <c r="B41" s="17">
        <v>53</v>
      </c>
      <c r="C41" s="17">
        <v>14</v>
      </c>
      <c r="D41" s="13">
        <v>2</v>
      </c>
      <c r="E41" s="17">
        <v>6</v>
      </c>
      <c r="F41" s="7"/>
      <c r="G41" s="7"/>
      <c r="H41" s="7"/>
    </row>
    <row r="42" spans="1:9" ht="15.75" customHeight="1">
      <c r="A42" s="4">
        <v>10</v>
      </c>
      <c r="B42" s="17">
        <v>53</v>
      </c>
      <c r="C42" s="17">
        <v>15.5</v>
      </c>
      <c r="D42" s="13">
        <v>4</v>
      </c>
      <c r="E42" s="17">
        <v>6.5</v>
      </c>
      <c r="F42" s="14" t="s">
        <v>180</v>
      </c>
      <c r="G42" s="7"/>
      <c r="H42" s="14" t="s">
        <v>181</v>
      </c>
      <c r="I42" s="1" t="s">
        <v>182</v>
      </c>
    </row>
    <row r="43" spans="1:9" ht="15.75" customHeight="1">
      <c r="A43" s="8">
        <v>11</v>
      </c>
      <c r="B43" s="17">
        <v>52.5</v>
      </c>
      <c r="C43" s="17">
        <v>15.5</v>
      </c>
      <c r="D43" s="13">
        <v>4</v>
      </c>
      <c r="E43" s="17">
        <v>6</v>
      </c>
      <c r="F43" s="7"/>
      <c r="G43" s="7"/>
      <c r="H43" s="14" t="s">
        <v>183</v>
      </c>
    </row>
    <row r="44" spans="1:9" ht="15.75" customHeight="1">
      <c r="A44" s="8">
        <v>12</v>
      </c>
      <c r="B44" s="1">
        <v>52.5</v>
      </c>
      <c r="C44" s="1">
        <v>15</v>
      </c>
      <c r="D44" s="13">
        <v>4</v>
      </c>
      <c r="E44" s="1">
        <v>4.5</v>
      </c>
      <c r="F44" s="7"/>
      <c r="G44" s="7"/>
      <c r="H44" s="7"/>
    </row>
    <row r="45" spans="1:9" ht="15.75" customHeight="1">
      <c r="A45" s="8">
        <v>13</v>
      </c>
      <c r="D45" s="13">
        <v>4</v>
      </c>
      <c r="F45" s="7"/>
      <c r="G45" s="7"/>
      <c r="H45" s="7"/>
    </row>
    <row r="46" spans="1:9" ht="15.75" customHeight="1">
      <c r="A46" s="8">
        <v>14</v>
      </c>
      <c r="D46" s="13">
        <v>4</v>
      </c>
      <c r="F46" s="7"/>
      <c r="G46" s="7"/>
      <c r="H46" s="7"/>
    </row>
    <row r="47" spans="1:9" ht="15.75" customHeight="1">
      <c r="A47" s="8">
        <v>15</v>
      </c>
      <c r="D47" s="13">
        <v>2</v>
      </c>
      <c r="F47" s="7"/>
      <c r="G47" s="7"/>
      <c r="H47" s="7"/>
    </row>
    <row r="48" spans="1:9" ht="15.75" customHeight="1">
      <c r="A48" s="8">
        <v>16</v>
      </c>
      <c r="D48" s="13">
        <v>4</v>
      </c>
      <c r="F48" s="7"/>
      <c r="G48" s="7"/>
      <c r="H48" s="7"/>
    </row>
    <row r="49" spans="1:8" ht="15.75" customHeight="1">
      <c r="A49" s="8">
        <v>17</v>
      </c>
      <c r="D49" s="13">
        <v>4</v>
      </c>
      <c r="F49" s="7"/>
      <c r="G49" s="7"/>
      <c r="H49" s="7"/>
    </row>
    <row r="50" spans="1:8" ht="15.75" customHeight="1">
      <c r="A50" s="8">
        <v>18</v>
      </c>
      <c r="D50" s="13">
        <v>4</v>
      </c>
      <c r="F50" s="7"/>
      <c r="G50" s="7"/>
      <c r="H50" s="7"/>
    </row>
    <row r="51" spans="1:8" ht="15.75" customHeight="1">
      <c r="A51" s="8">
        <v>19</v>
      </c>
      <c r="D51" s="13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2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53.541666666666664</v>
      </c>
      <c r="C58" s="5">
        <f t="shared" si="4"/>
        <v>13.208333333333334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44</v>
      </c>
      <c r="C59" s="5">
        <f t="shared" si="5"/>
        <v>11</v>
      </c>
      <c r="D59" s="11">
        <f t="shared" si="5"/>
        <v>2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67</v>
      </c>
      <c r="C60" s="5">
        <f t="shared" si="6"/>
        <v>15.5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19">
        <v>1</v>
      </c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8.5</v>
      </c>
      <c r="C65" s="7"/>
      <c r="D65" s="10"/>
      <c r="E65" s="7"/>
      <c r="F65" s="7"/>
      <c r="G65" s="7"/>
      <c r="H65" s="7"/>
    </row>
    <row r="66" spans="1:8" ht="14">
      <c r="A66" s="2"/>
      <c r="B66" s="14">
        <v>8.5</v>
      </c>
      <c r="C66" s="7"/>
      <c r="D66" s="10"/>
      <c r="E66" s="7"/>
      <c r="F66" s="7"/>
      <c r="G66" s="7"/>
      <c r="H66" s="7"/>
    </row>
    <row r="67" spans="1:8" ht="14">
      <c r="A67" s="2"/>
      <c r="B67" s="14">
        <v>7.5</v>
      </c>
      <c r="C67" s="7"/>
      <c r="D67" s="10"/>
      <c r="E67" s="7"/>
      <c r="F67" s="7"/>
      <c r="G67" s="7"/>
      <c r="H67" s="7"/>
    </row>
    <row r="68" spans="1:8" ht="14">
      <c r="A68" s="2"/>
      <c r="B68" s="14">
        <v>10</v>
      </c>
      <c r="C68" s="7"/>
      <c r="D68" s="10"/>
      <c r="E68" s="7"/>
      <c r="F68" s="7"/>
      <c r="G68" s="7"/>
      <c r="H68" s="7"/>
    </row>
    <row r="69" spans="1:8" ht="14">
      <c r="A69" s="2"/>
      <c r="B69" s="14">
        <v>4</v>
      </c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14" t="s">
        <v>184</v>
      </c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185</v>
      </c>
      <c r="D72" s="16"/>
    </row>
    <row r="73" spans="1:8" ht="14">
      <c r="A73" s="2"/>
      <c r="D73" s="16"/>
    </row>
    <row r="74" spans="1:8" ht="14">
      <c r="A74" s="2"/>
      <c r="D74" s="16"/>
    </row>
  </sheetData>
  <mergeCells count="3">
    <mergeCell ref="E2:E22"/>
    <mergeCell ref="E23:E26"/>
    <mergeCell ref="D62:E6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I74"/>
  <sheetViews>
    <sheetView workbookViewId="0"/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12</v>
      </c>
      <c r="C2" s="17">
        <v>9.5</v>
      </c>
      <c r="D2" s="6">
        <f t="shared" ref="D2:D26" si="0">B2/C2</f>
        <v>1.263157894736842</v>
      </c>
      <c r="E2" s="7"/>
      <c r="F2" s="7"/>
      <c r="G2" s="7"/>
      <c r="H2" s="7"/>
    </row>
    <row r="3" spans="1:9" ht="15.75" customHeight="1">
      <c r="A3" s="4">
        <v>2</v>
      </c>
      <c r="B3" s="17">
        <v>12</v>
      </c>
      <c r="C3" s="17">
        <v>9</v>
      </c>
      <c r="D3" s="6">
        <f t="shared" si="0"/>
        <v>1.3333333333333333</v>
      </c>
      <c r="E3" s="7"/>
      <c r="F3" s="7"/>
      <c r="G3" s="7"/>
      <c r="H3" s="7"/>
      <c r="I3" s="1" t="s">
        <v>186</v>
      </c>
    </row>
    <row r="4" spans="1:9" ht="15.75" customHeight="1">
      <c r="A4" s="4">
        <v>3</v>
      </c>
      <c r="B4" s="17">
        <v>12</v>
      </c>
      <c r="C4" s="17">
        <v>10</v>
      </c>
      <c r="D4" s="6">
        <f t="shared" si="0"/>
        <v>1.2</v>
      </c>
      <c r="E4" s="7"/>
      <c r="F4" s="7"/>
      <c r="G4" s="7"/>
      <c r="H4" s="7"/>
      <c r="I4" s="1" t="s">
        <v>187</v>
      </c>
    </row>
    <row r="5" spans="1:9" ht="15.75" customHeight="1">
      <c r="A5" s="4">
        <v>4</v>
      </c>
      <c r="B5" s="17">
        <v>10</v>
      </c>
      <c r="C5" s="17">
        <v>10</v>
      </c>
      <c r="D5" s="6">
        <f t="shared" si="0"/>
        <v>1</v>
      </c>
      <c r="E5" s="7"/>
      <c r="F5" s="7"/>
      <c r="G5" s="7"/>
      <c r="H5" s="7"/>
    </row>
    <row r="6" spans="1:9" ht="15.75" customHeight="1">
      <c r="A6" s="4">
        <v>5</v>
      </c>
      <c r="B6" s="17">
        <v>11.5</v>
      </c>
      <c r="C6" s="17">
        <v>10.5</v>
      </c>
      <c r="D6" s="6">
        <f t="shared" si="0"/>
        <v>1.0952380952380953</v>
      </c>
      <c r="E6" s="7"/>
      <c r="F6" s="7"/>
      <c r="G6" s="7"/>
      <c r="H6" s="7"/>
    </row>
    <row r="7" spans="1:9" ht="15.75" customHeight="1">
      <c r="A7" s="4">
        <v>6</v>
      </c>
      <c r="B7" s="17">
        <v>12</v>
      </c>
      <c r="C7" s="17">
        <v>9.5</v>
      </c>
      <c r="D7" s="6">
        <f t="shared" si="0"/>
        <v>1.263157894736842</v>
      </c>
      <c r="E7" s="7"/>
      <c r="F7" s="7"/>
      <c r="G7" s="7"/>
      <c r="H7" s="7"/>
    </row>
    <row r="8" spans="1:9" ht="15.75" customHeight="1">
      <c r="A8" s="4">
        <v>7</v>
      </c>
      <c r="B8" s="17">
        <v>13</v>
      </c>
      <c r="C8" s="17">
        <v>10.5</v>
      </c>
      <c r="D8" s="6">
        <f t="shared" si="0"/>
        <v>1.2380952380952381</v>
      </c>
      <c r="E8" s="7"/>
      <c r="F8" s="7"/>
      <c r="G8" s="7"/>
      <c r="H8" s="7"/>
    </row>
    <row r="9" spans="1:9" ht="15.75" customHeight="1">
      <c r="A9" s="4">
        <v>8</v>
      </c>
      <c r="B9" s="17">
        <v>11.5</v>
      </c>
      <c r="C9" s="17">
        <v>10</v>
      </c>
      <c r="D9" s="6">
        <f t="shared" si="0"/>
        <v>1.1499999999999999</v>
      </c>
      <c r="E9" s="7"/>
      <c r="F9" s="7"/>
      <c r="G9" s="7"/>
      <c r="H9" s="7"/>
    </row>
    <row r="10" spans="1:9" ht="15.75" customHeight="1">
      <c r="A10" s="4">
        <v>9</v>
      </c>
      <c r="B10" s="17">
        <v>12</v>
      </c>
      <c r="C10" s="17">
        <v>10.5</v>
      </c>
      <c r="D10" s="6">
        <f t="shared" si="0"/>
        <v>1.1428571428571428</v>
      </c>
      <c r="E10" s="7"/>
      <c r="F10" s="7"/>
      <c r="G10" s="7"/>
      <c r="H10" s="7"/>
    </row>
    <row r="11" spans="1:9" ht="15.75" customHeight="1">
      <c r="A11" s="4">
        <v>10</v>
      </c>
      <c r="B11" s="17">
        <v>11.5</v>
      </c>
      <c r="C11" s="17">
        <v>10</v>
      </c>
      <c r="D11" s="6">
        <f t="shared" si="0"/>
        <v>1.1499999999999999</v>
      </c>
      <c r="E11" s="7"/>
      <c r="F11" s="7"/>
      <c r="G11" s="7"/>
      <c r="H11" s="7"/>
    </row>
    <row r="12" spans="1:9" ht="15.75" customHeight="1">
      <c r="A12" s="8">
        <v>11</v>
      </c>
      <c r="B12" s="17">
        <v>11.5</v>
      </c>
      <c r="C12" s="17">
        <v>9.5</v>
      </c>
      <c r="D12" s="6">
        <f t="shared" si="0"/>
        <v>1.2105263157894737</v>
      </c>
      <c r="E12" s="7"/>
      <c r="F12" s="7"/>
      <c r="G12" s="7"/>
      <c r="H12" s="7"/>
    </row>
    <row r="13" spans="1:9" ht="15.75" customHeight="1">
      <c r="A13" s="8">
        <v>12</v>
      </c>
      <c r="B13" s="17">
        <v>11.5</v>
      </c>
      <c r="C13" s="17">
        <v>9.5</v>
      </c>
      <c r="D13" s="6">
        <f t="shared" si="0"/>
        <v>1.2105263157894737</v>
      </c>
      <c r="E13" s="7"/>
      <c r="F13" s="7"/>
      <c r="G13" s="7"/>
      <c r="H13" s="7"/>
    </row>
    <row r="14" spans="1:9" ht="15.75" customHeight="1">
      <c r="A14" s="8">
        <v>13</v>
      </c>
      <c r="B14" s="17">
        <v>13</v>
      </c>
      <c r="C14" s="17">
        <v>9</v>
      </c>
      <c r="D14" s="6">
        <f t="shared" si="0"/>
        <v>1.4444444444444444</v>
      </c>
      <c r="E14" s="7"/>
      <c r="F14" s="7"/>
      <c r="G14" s="7"/>
      <c r="H14" s="7"/>
    </row>
    <row r="15" spans="1:9" ht="15.75" customHeight="1">
      <c r="A15" s="8">
        <v>14</v>
      </c>
      <c r="B15" s="17">
        <v>10.5</v>
      </c>
      <c r="C15" s="17">
        <v>10.5</v>
      </c>
      <c r="D15" s="6">
        <f t="shared" si="0"/>
        <v>1</v>
      </c>
      <c r="E15" s="7"/>
      <c r="F15" s="7"/>
      <c r="G15" s="7"/>
      <c r="H15" s="7"/>
    </row>
    <row r="16" spans="1:9" ht="15.75" customHeight="1">
      <c r="A16" s="8">
        <v>15</v>
      </c>
      <c r="B16" s="17">
        <v>11.5</v>
      </c>
      <c r="C16" s="17">
        <v>11</v>
      </c>
      <c r="D16" s="6">
        <f t="shared" si="0"/>
        <v>1.0454545454545454</v>
      </c>
      <c r="E16" s="7"/>
      <c r="F16" s="7"/>
      <c r="G16" s="7"/>
      <c r="H16" s="7"/>
    </row>
    <row r="17" spans="1:8" ht="15.75" customHeight="1">
      <c r="A17" s="8">
        <v>16</v>
      </c>
      <c r="B17" s="17">
        <v>12.5</v>
      </c>
      <c r="C17" s="17">
        <v>11</v>
      </c>
      <c r="D17" s="6">
        <f t="shared" si="0"/>
        <v>1.1363636363636365</v>
      </c>
      <c r="E17" s="7"/>
      <c r="F17" s="7"/>
      <c r="G17" s="7"/>
      <c r="H17" s="7"/>
    </row>
    <row r="18" spans="1:8" ht="15.75" customHeight="1">
      <c r="A18" s="8">
        <v>17</v>
      </c>
      <c r="B18" s="17">
        <v>11</v>
      </c>
      <c r="C18" s="17">
        <v>8</v>
      </c>
      <c r="D18" s="6">
        <f t="shared" si="0"/>
        <v>1.375</v>
      </c>
      <c r="E18" s="7"/>
      <c r="F18" s="7"/>
      <c r="G18" s="7"/>
      <c r="H18" s="7"/>
    </row>
    <row r="19" spans="1:8" ht="15.75" customHeight="1">
      <c r="A19" s="8">
        <v>18</v>
      </c>
      <c r="B19" s="17">
        <v>12</v>
      </c>
      <c r="C19" s="17">
        <v>8.5</v>
      </c>
      <c r="D19" s="6">
        <f t="shared" si="0"/>
        <v>1.411764705882353</v>
      </c>
      <c r="E19" s="7"/>
      <c r="F19" s="7"/>
      <c r="G19" s="7"/>
      <c r="H19" s="7"/>
    </row>
    <row r="20" spans="1:8" ht="15.75" customHeight="1">
      <c r="A20" s="8">
        <v>19</v>
      </c>
      <c r="B20" s="17">
        <v>12</v>
      </c>
      <c r="C20" s="17">
        <v>10</v>
      </c>
      <c r="D20" s="6">
        <f t="shared" si="0"/>
        <v>1.2</v>
      </c>
      <c r="E20" s="7"/>
      <c r="F20" s="7"/>
      <c r="G20" s="7"/>
      <c r="H20" s="7"/>
    </row>
    <row r="21" spans="1:8" ht="15.75" customHeight="1">
      <c r="A21" s="8">
        <v>20</v>
      </c>
      <c r="B21" s="17">
        <v>10.5</v>
      </c>
      <c r="C21" s="17">
        <v>10.5</v>
      </c>
      <c r="D21" s="6">
        <f t="shared" si="0"/>
        <v>1</v>
      </c>
      <c r="E21" s="7"/>
      <c r="F21" s="7"/>
      <c r="G21" s="7"/>
      <c r="H21" s="7"/>
    </row>
    <row r="22" spans="1:8" ht="15.75" customHeight="1">
      <c r="A22" s="8">
        <v>21</v>
      </c>
      <c r="B22" s="17">
        <v>10.5</v>
      </c>
      <c r="C22" s="17">
        <v>9.5</v>
      </c>
      <c r="D22" s="6">
        <f t="shared" si="0"/>
        <v>1.1052631578947369</v>
      </c>
      <c r="E22" s="7"/>
      <c r="F22" s="7"/>
      <c r="G22" s="7"/>
      <c r="H22" s="7"/>
    </row>
    <row r="23" spans="1:8" ht="15.75" customHeight="1">
      <c r="A23" s="8">
        <v>22</v>
      </c>
      <c r="B23" s="17">
        <v>12</v>
      </c>
      <c r="C23" s="17">
        <v>11</v>
      </c>
      <c r="D23" s="6">
        <f t="shared" si="0"/>
        <v>1.0909090909090908</v>
      </c>
      <c r="E23" s="7"/>
      <c r="F23" s="7"/>
      <c r="G23" s="7"/>
      <c r="H23" s="7"/>
    </row>
    <row r="24" spans="1:8" ht="15.75" customHeight="1">
      <c r="A24" s="8">
        <v>23</v>
      </c>
      <c r="B24" s="17">
        <v>10.5</v>
      </c>
      <c r="C24" s="17">
        <v>9.5</v>
      </c>
      <c r="D24" s="6">
        <f t="shared" si="0"/>
        <v>1.1052631578947369</v>
      </c>
      <c r="E24" s="7"/>
      <c r="F24" s="7"/>
      <c r="G24" s="7"/>
      <c r="H24" s="7"/>
    </row>
    <row r="25" spans="1:8" ht="15.75" customHeight="1">
      <c r="A25" s="8">
        <v>24</v>
      </c>
      <c r="B25" s="17">
        <v>10</v>
      </c>
      <c r="C25" s="17">
        <v>9</v>
      </c>
      <c r="D25" s="6">
        <f t="shared" si="0"/>
        <v>1.1111111111111112</v>
      </c>
      <c r="E25" s="7"/>
      <c r="F25" s="7"/>
      <c r="G25" s="7"/>
      <c r="H25" s="7"/>
    </row>
    <row r="26" spans="1:8" ht="15.75" customHeight="1">
      <c r="A26" s="8">
        <v>25</v>
      </c>
      <c r="B26" s="17">
        <v>12</v>
      </c>
      <c r="C26" s="17">
        <v>11.5</v>
      </c>
      <c r="D26" s="6">
        <f t="shared" si="0"/>
        <v>1.0434782608695652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11.54</v>
      </c>
      <c r="C27" s="5">
        <f t="shared" si="1"/>
        <v>9.9</v>
      </c>
      <c r="D27" s="9">
        <f t="shared" si="1"/>
        <v>1.1730377736560265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10</v>
      </c>
      <c r="C28" s="5">
        <f t="shared" si="2"/>
        <v>8</v>
      </c>
      <c r="D28" s="9">
        <f t="shared" si="2"/>
        <v>1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13</v>
      </c>
      <c r="C29" s="5">
        <f t="shared" si="3"/>
        <v>11.5</v>
      </c>
      <c r="D29" s="9">
        <f t="shared" si="3"/>
        <v>1.4444444444444444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9" ht="15.75" customHeight="1">
      <c r="A33" s="4">
        <v>1</v>
      </c>
      <c r="B33" s="17">
        <v>60</v>
      </c>
      <c r="C33" s="17">
        <v>14.5</v>
      </c>
      <c r="D33" s="13">
        <v>4</v>
      </c>
      <c r="E33" s="17">
        <v>5.5</v>
      </c>
      <c r="F33" s="7"/>
      <c r="G33" s="7"/>
      <c r="H33" s="7"/>
    </row>
    <row r="34" spans="1:9" ht="15.75" customHeight="1">
      <c r="A34" s="4">
        <v>2</v>
      </c>
      <c r="B34" s="17">
        <v>53</v>
      </c>
      <c r="C34" s="17">
        <v>14.5</v>
      </c>
      <c r="D34" s="13">
        <v>4</v>
      </c>
      <c r="E34" s="17">
        <v>5.5</v>
      </c>
      <c r="F34" s="7"/>
      <c r="G34" s="7"/>
      <c r="H34" s="7"/>
    </row>
    <row r="35" spans="1:9" ht="15.75" customHeight="1">
      <c r="A35" s="4">
        <v>3</v>
      </c>
      <c r="B35" s="17">
        <v>55</v>
      </c>
      <c r="C35" s="17">
        <v>13</v>
      </c>
      <c r="D35" s="13">
        <v>4</v>
      </c>
      <c r="E35" s="14">
        <v>3.5</v>
      </c>
      <c r="F35" s="7"/>
      <c r="G35" s="14" t="s">
        <v>188</v>
      </c>
      <c r="H35" s="7"/>
    </row>
    <row r="36" spans="1:9" ht="15.75" customHeight="1">
      <c r="A36" s="4">
        <v>4</v>
      </c>
      <c r="B36" s="17">
        <v>45</v>
      </c>
      <c r="C36" s="17">
        <v>14</v>
      </c>
      <c r="D36" s="13">
        <v>2</v>
      </c>
      <c r="E36" s="17" t="s">
        <v>134</v>
      </c>
      <c r="F36" s="7"/>
      <c r="G36" s="7"/>
      <c r="H36" s="14" t="s">
        <v>189</v>
      </c>
    </row>
    <row r="37" spans="1:9" ht="15.75" customHeight="1">
      <c r="A37" s="4">
        <v>5</v>
      </c>
      <c r="B37" s="17">
        <v>52.5</v>
      </c>
      <c r="C37" s="17">
        <v>13</v>
      </c>
      <c r="D37" s="13">
        <v>4</v>
      </c>
      <c r="E37" s="17">
        <v>5.5</v>
      </c>
      <c r="F37" s="7"/>
      <c r="G37" s="7"/>
      <c r="H37" s="7"/>
    </row>
    <row r="38" spans="1:9" ht="15.75" customHeight="1">
      <c r="A38" s="4">
        <v>6</v>
      </c>
      <c r="B38" s="17">
        <v>52.5</v>
      </c>
      <c r="C38" s="17">
        <v>12</v>
      </c>
      <c r="D38" s="13">
        <v>4</v>
      </c>
      <c r="E38" s="17">
        <v>5.5</v>
      </c>
      <c r="F38" s="7"/>
      <c r="G38" s="7"/>
      <c r="H38" s="7"/>
    </row>
    <row r="39" spans="1:9" ht="15.75" customHeight="1">
      <c r="A39" s="4">
        <v>7</v>
      </c>
      <c r="B39" s="17">
        <v>53.5</v>
      </c>
      <c r="C39" s="17">
        <v>15</v>
      </c>
      <c r="D39" s="13">
        <v>4</v>
      </c>
      <c r="E39" s="17">
        <v>6.5</v>
      </c>
      <c r="F39" s="7"/>
      <c r="G39" s="7"/>
      <c r="H39" s="7"/>
    </row>
    <row r="40" spans="1:9" ht="15.75" customHeight="1">
      <c r="A40" s="4">
        <v>8</v>
      </c>
      <c r="B40" s="17">
        <v>52</v>
      </c>
      <c r="C40" s="17">
        <v>12.5</v>
      </c>
      <c r="D40" s="13">
        <v>2</v>
      </c>
      <c r="E40" s="17">
        <v>3.5</v>
      </c>
      <c r="F40" s="7"/>
      <c r="G40" s="7"/>
      <c r="H40" s="7"/>
    </row>
    <row r="41" spans="1:9" ht="15.75" customHeight="1">
      <c r="A41" s="4">
        <v>9</v>
      </c>
      <c r="B41" s="17">
        <v>56.5</v>
      </c>
      <c r="C41" s="17">
        <v>13.5</v>
      </c>
      <c r="D41" s="13">
        <v>4</v>
      </c>
      <c r="E41" s="17">
        <v>7</v>
      </c>
      <c r="F41" s="7"/>
      <c r="G41" s="7"/>
      <c r="H41" s="7"/>
    </row>
    <row r="42" spans="1:9" ht="15.75" customHeight="1">
      <c r="A42" s="4">
        <v>10</v>
      </c>
      <c r="B42" s="17">
        <v>46</v>
      </c>
      <c r="C42" s="17">
        <v>13.5</v>
      </c>
      <c r="D42" s="13">
        <v>4</v>
      </c>
      <c r="E42" s="17">
        <v>7</v>
      </c>
      <c r="F42" s="7"/>
      <c r="G42" s="7"/>
      <c r="H42" s="7"/>
    </row>
    <row r="43" spans="1:9" ht="15.75" customHeight="1">
      <c r="A43" s="8">
        <v>11</v>
      </c>
      <c r="B43" s="17">
        <v>57</v>
      </c>
      <c r="C43" s="17">
        <v>14</v>
      </c>
      <c r="D43" s="13">
        <v>4</v>
      </c>
      <c r="E43" s="17">
        <v>8</v>
      </c>
      <c r="F43" s="7"/>
      <c r="G43" s="7"/>
      <c r="H43" s="7"/>
    </row>
    <row r="44" spans="1:9" ht="15.75" customHeight="1">
      <c r="A44" s="8">
        <v>12</v>
      </c>
      <c r="B44" s="1">
        <v>52</v>
      </c>
      <c r="C44" s="1">
        <v>13</v>
      </c>
      <c r="D44" s="12">
        <v>2</v>
      </c>
      <c r="E44" s="1">
        <v>7</v>
      </c>
      <c r="F44" s="7"/>
      <c r="G44" s="7"/>
      <c r="H44" s="7"/>
    </row>
    <row r="45" spans="1:9" ht="15.75" customHeight="1">
      <c r="A45" s="8">
        <v>13</v>
      </c>
      <c r="B45" s="1">
        <v>52.5</v>
      </c>
      <c r="C45" s="1">
        <v>15</v>
      </c>
      <c r="D45" s="12">
        <v>4</v>
      </c>
      <c r="E45" s="1">
        <v>7</v>
      </c>
      <c r="F45" s="7"/>
      <c r="G45" s="7"/>
      <c r="H45" s="7"/>
    </row>
    <row r="46" spans="1:9" ht="15.75" customHeight="1">
      <c r="A46" s="8">
        <v>14</v>
      </c>
      <c r="B46" s="1">
        <v>46</v>
      </c>
      <c r="C46" s="1">
        <v>13.5</v>
      </c>
      <c r="D46" s="12">
        <v>3</v>
      </c>
      <c r="E46" s="1">
        <v>7</v>
      </c>
      <c r="F46" s="7"/>
      <c r="G46" s="7"/>
      <c r="H46" s="14" t="s">
        <v>190</v>
      </c>
      <c r="I46" s="1" t="s">
        <v>191</v>
      </c>
    </row>
    <row r="47" spans="1:9" ht="15.75" customHeight="1">
      <c r="A47" s="8">
        <v>15</v>
      </c>
      <c r="B47" s="1">
        <v>52.5</v>
      </c>
      <c r="C47" s="1">
        <v>13.5</v>
      </c>
      <c r="D47" s="12">
        <v>3</v>
      </c>
      <c r="E47" s="1">
        <v>8</v>
      </c>
      <c r="F47" s="7"/>
      <c r="G47" s="7"/>
      <c r="H47" s="14" t="s">
        <v>192</v>
      </c>
      <c r="I47" s="1" t="s">
        <v>193</v>
      </c>
    </row>
    <row r="48" spans="1:9" ht="15.75" customHeight="1">
      <c r="A48" s="8">
        <v>16</v>
      </c>
      <c r="D48" s="12">
        <v>1</v>
      </c>
      <c r="E48" s="1">
        <v>10.5</v>
      </c>
      <c r="F48" s="7"/>
      <c r="G48" s="7"/>
      <c r="H48" s="14" t="s">
        <v>194</v>
      </c>
    </row>
    <row r="49" spans="1:8" ht="15.75" customHeight="1">
      <c r="A49" s="8">
        <v>17</v>
      </c>
      <c r="D49" s="12">
        <v>2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1</v>
      </c>
      <c r="E52" s="7"/>
      <c r="F52" s="7"/>
      <c r="G52" s="7"/>
      <c r="H52" s="14" t="s">
        <v>195</v>
      </c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2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52.4</v>
      </c>
      <c r="C58" s="5">
        <f t="shared" si="4"/>
        <v>13.633333333333333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45</v>
      </c>
      <c r="C59" s="5">
        <f t="shared" si="5"/>
        <v>12</v>
      </c>
      <c r="D59" s="11">
        <f t="shared" si="5"/>
        <v>1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57</v>
      </c>
      <c r="C60" s="5">
        <f t="shared" si="6"/>
        <v>15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19">
        <v>1</v>
      </c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7.5</v>
      </c>
      <c r="C65" s="7"/>
      <c r="D65" s="10"/>
      <c r="E65" s="14" t="s">
        <v>196</v>
      </c>
      <c r="F65" s="14" t="s">
        <v>197</v>
      </c>
      <c r="G65" s="7"/>
      <c r="H65" s="7"/>
    </row>
    <row r="66" spans="1:8" ht="14">
      <c r="A66" s="2"/>
      <c r="B66" s="14">
        <v>8.5</v>
      </c>
      <c r="C66" s="7"/>
      <c r="D66" s="10"/>
      <c r="E66" s="7"/>
      <c r="F66" s="7"/>
      <c r="G66" s="7"/>
      <c r="H66" s="7"/>
    </row>
    <row r="67" spans="1:8" ht="14">
      <c r="A67" s="2"/>
      <c r="B67" s="14">
        <v>4.5</v>
      </c>
      <c r="C67" s="7"/>
      <c r="D67" s="10"/>
      <c r="E67" s="7"/>
      <c r="F67" s="7"/>
      <c r="G67" s="7"/>
      <c r="H67" s="7"/>
    </row>
    <row r="68" spans="1:8" ht="14">
      <c r="A68" s="2"/>
      <c r="B68" s="14">
        <v>5.5</v>
      </c>
      <c r="C68" s="7"/>
      <c r="D68" s="10"/>
      <c r="E68" s="7"/>
      <c r="F68" s="7"/>
      <c r="G68" s="7"/>
      <c r="H68" s="7"/>
    </row>
    <row r="69" spans="1:8" ht="14">
      <c r="A69" s="2"/>
      <c r="B69" s="14">
        <v>9</v>
      </c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 t="s">
        <v>108</v>
      </c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143</v>
      </c>
      <c r="D72" s="16"/>
    </row>
    <row r="73" spans="1:8" ht="14">
      <c r="A73" s="2"/>
      <c r="D73" s="16"/>
    </row>
    <row r="74" spans="1:8" ht="14">
      <c r="A74" s="2"/>
      <c r="D74" s="16"/>
    </row>
  </sheetData>
  <mergeCells count="1">
    <mergeCell ref="D62:E6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I1006"/>
  <sheetViews>
    <sheetView workbookViewId="0"/>
  </sheetViews>
  <sheetFormatPr baseColWidth="10" defaultColWidth="12.6640625" defaultRowHeight="15.75" customHeight="1"/>
  <sheetData>
    <row r="1" spans="1:8" ht="15.75" customHeight="1">
      <c r="A1" s="2"/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10.5</v>
      </c>
      <c r="C2" s="17">
        <v>10.5</v>
      </c>
      <c r="D2" s="6">
        <f t="shared" ref="D2:D26" si="0">B2/C2</f>
        <v>1</v>
      </c>
      <c r="E2" s="7"/>
      <c r="F2" s="7"/>
      <c r="G2" s="14" t="s">
        <v>29</v>
      </c>
      <c r="H2" s="7"/>
    </row>
    <row r="3" spans="1:8" ht="15.75" customHeight="1">
      <c r="A3" s="4">
        <v>2</v>
      </c>
      <c r="B3" s="17">
        <v>10</v>
      </c>
      <c r="C3" s="17">
        <v>9.5</v>
      </c>
      <c r="D3" s="6">
        <f t="shared" si="0"/>
        <v>1.0526315789473684</v>
      </c>
      <c r="E3" s="7"/>
      <c r="F3" s="7"/>
      <c r="G3" s="7"/>
      <c r="H3" s="7"/>
    </row>
    <row r="4" spans="1:8" ht="15.75" customHeight="1">
      <c r="A4" s="4">
        <v>3</v>
      </c>
      <c r="B4" s="17">
        <v>9.5</v>
      </c>
      <c r="C4" s="17">
        <v>9.5</v>
      </c>
      <c r="D4" s="6">
        <f t="shared" si="0"/>
        <v>1</v>
      </c>
      <c r="E4" s="7"/>
      <c r="F4" s="7"/>
      <c r="G4" s="7"/>
      <c r="H4" s="7"/>
    </row>
    <row r="5" spans="1:8" ht="15.75" customHeight="1">
      <c r="A5" s="4">
        <v>4</v>
      </c>
      <c r="B5" s="17">
        <v>12</v>
      </c>
      <c r="C5" s="17">
        <v>11.5</v>
      </c>
      <c r="D5" s="6">
        <f t="shared" si="0"/>
        <v>1.0434782608695652</v>
      </c>
      <c r="E5" s="7"/>
      <c r="F5" s="7"/>
      <c r="G5" s="7"/>
      <c r="H5" s="7"/>
    </row>
    <row r="6" spans="1:8" ht="15.75" customHeight="1">
      <c r="A6" s="4">
        <v>5</v>
      </c>
      <c r="B6" s="17">
        <v>10</v>
      </c>
      <c r="C6" s="17">
        <v>9.5</v>
      </c>
      <c r="D6" s="6">
        <f t="shared" si="0"/>
        <v>1.0526315789473684</v>
      </c>
      <c r="E6" s="7"/>
      <c r="F6" s="7"/>
      <c r="G6" s="7"/>
      <c r="H6" s="7"/>
    </row>
    <row r="7" spans="1:8" ht="15.75" customHeight="1">
      <c r="A7" s="4">
        <v>6</v>
      </c>
      <c r="B7" s="17">
        <v>8.5</v>
      </c>
      <c r="C7" s="17">
        <v>8</v>
      </c>
      <c r="D7" s="6">
        <f t="shared" si="0"/>
        <v>1.0625</v>
      </c>
      <c r="E7" s="7"/>
      <c r="F7" s="7"/>
      <c r="G7" s="7"/>
      <c r="H7" s="7"/>
    </row>
    <row r="8" spans="1:8" ht="15.75" customHeight="1">
      <c r="A8" s="4">
        <v>7</v>
      </c>
      <c r="B8" s="17">
        <v>10</v>
      </c>
      <c r="C8" s="17">
        <v>10</v>
      </c>
      <c r="D8" s="6">
        <f t="shared" si="0"/>
        <v>1</v>
      </c>
      <c r="E8" s="7"/>
      <c r="F8" s="7"/>
      <c r="G8" s="7"/>
      <c r="H8" s="7"/>
    </row>
    <row r="9" spans="1:8" ht="15.75" customHeight="1">
      <c r="A9" s="4">
        <v>8</v>
      </c>
      <c r="B9" s="17">
        <v>10.5</v>
      </c>
      <c r="C9" s="17">
        <v>10</v>
      </c>
      <c r="D9" s="6">
        <f t="shared" si="0"/>
        <v>1.05</v>
      </c>
      <c r="E9" s="7"/>
      <c r="F9" s="7"/>
      <c r="G9" s="7"/>
      <c r="H9" s="7"/>
    </row>
    <row r="10" spans="1:8" ht="15.75" customHeight="1">
      <c r="A10" s="4">
        <v>9</v>
      </c>
      <c r="B10" s="17">
        <v>10.5</v>
      </c>
      <c r="C10" s="17">
        <v>10.5</v>
      </c>
      <c r="D10" s="6">
        <f t="shared" si="0"/>
        <v>1</v>
      </c>
      <c r="E10" s="7"/>
      <c r="F10" s="7"/>
      <c r="G10" s="7"/>
      <c r="H10" s="7"/>
    </row>
    <row r="11" spans="1:8" ht="15.75" customHeight="1">
      <c r="A11" s="4">
        <v>10</v>
      </c>
      <c r="B11" s="17">
        <v>9.5</v>
      </c>
      <c r="C11" s="17">
        <v>9.5</v>
      </c>
      <c r="D11" s="6">
        <f t="shared" si="0"/>
        <v>1</v>
      </c>
      <c r="E11" s="7"/>
      <c r="F11" s="7"/>
      <c r="G11" s="7"/>
      <c r="H11" s="7"/>
    </row>
    <row r="12" spans="1:8" ht="15.75" customHeight="1">
      <c r="A12" s="8">
        <v>11</v>
      </c>
      <c r="B12" s="17">
        <v>10.5</v>
      </c>
      <c r="C12" s="17">
        <v>10</v>
      </c>
      <c r="D12" s="6">
        <f t="shared" si="0"/>
        <v>1.05</v>
      </c>
      <c r="E12" s="7"/>
      <c r="F12" s="7"/>
      <c r="G12" s="7"/>
      <c r="H12" s="7"/>
    </row>
    <row r="13" spans="1:8" ht="15.75" customHeight="1">
      <c r="A13" s="8">
        <v>12</v>
      </c>
      <c r="B13" s="17">
        <v>9.5</v>
      </c>
      <c r="C13" s="17">
        <v>10</v>
      </c>
      <c r="D13" s="6">
        <f t="shared" si="0"/>
        <v>0.95</v>
      </c>
      <c r="E13" s="7"/>
      <c r="F13" s="7"/>
      <c r="G13" s="7"/>
      <c r="H13" s="7"/>
    </row>
    <row r="14" spans="1:8" ht="15.75" customHeight="1">
      <c r="A14" s="8">
        <v>13</v>
      </c>
      <c r="B14" s="17">
        <v>9</v>
      </c>
      <c r="C14" s="17">
        <v>9</v>
      </c>
      <c r="D14" s="6">
        <f t="shared" si="0"/>
        <v>1</v>
      </c>
      <c r="E14" s="7"/>
      <c r="F14" s="7"/>
      <c r="G14" s="7"/>
      <c r="H14" s="7"/>
    </row>
    <row r="15" spans="1:8" ht="15.75" customHeight="1">
      <c r="A15" s="8">
        <v>14</v>
      </c>
      <c r="B15" s="17">
        <v>9</v>
      </c>
      <c r="C15" s="17">
        <v>9</v>
      </c>
      <c r="D15" s="6">
        <f t="shared" si="0"/>
        <v>1</v>
      </c>
      <c r="E15" s="7"/>
      <c r="F15" s="7"/>
      <c r="G15" s="7"/>
      <c r="H15" s="7"/>
    </row>
    <row r="16" spans="1:8" ht="15.75" customHeight="1">
      <c r="A16" s="8">
        <v>15</v>
      </c>
      <c r="B16" s="17">
        <v>9</v>
      </c>
      <c r="C16" s="17">
        <v>9</v>
      </c>
      <c r="D16" s="6">
        <f t="shared" si="0"/>
        <v>1</v>
      </c>
      <c r="E16" s="7"/>
      <c r="F16" s="7"/>
      <c r="G16" s="7"/>
      <c r="H16" s="7"/>
    </row>
    <row r="17" spans="1:8" ht="15.75" customHeight="1">
      <c r="A17" s="8">
        <v>16</v>
      </c>
      <c r="B17" s="17">
        <v>9.5</v>
      </c>
      <c r="C17" s="17">
        <v>9</v>
      </c>
      <c r="D17" s="6">
        <f t="shared" si="0"/>
        <v>1.0555555555555556</v>
      </c>
      <c r="E17" s="7"/>
      <c r="F17" s="7"/>
      <c r="G17" s="7"/>
      <c r="H17" s="7"/>
    </row>
    <row r="18" spans="1:8" ht="15.75" customHeight="1">
      <c r="A18" s="8">
        <v>17</v>
      </c>
      <c r="B18" s="17">
        <v>9.5</v>
      </c>
      <c r="C18" s="17">
        <v>9.5</v>
      </c>
      <c r="D18" s="6">
        <f t="shared" si="0"/>
        <v>1</v>
      </c>
      <c r="E18" s="7"/>
      <c r="F18" s="7"/>
      <c r="G18" s="7"/>
      <c r="H18" s="7"/>
    </row>
    <row r="19" spans="1:8" ht="15.75" customHeight="1">
      <c r="A19" s="8">
        <v>18</v>
      </c>
      <c r="B19" s="17">
        <v>9.5</v>
      </c>
      <c r="C19" s="17">
        <v>9</v>
      </c>
      <c r="D19" s="6">
        <f t="shared" si="0"/>
        <v>1.0555555555555556</v>
      </c>
      <c r="E19" s="7"/>
      <c r="F19" s="7"/>
      <c r="G19" s="7"/>
      <c r="H19" s="7"/>
    </row>
    <row r="20" spans="1:8" ht="15.75" customHeight="1">
      <c r="A20" s="8">
        <v>19</v>
      </c>
      <c r="B20" s="17">
        <v>10</v>
      </c>
      <c r="C20" s="17">
        <v>8.5</v>
      </c>
      <c r="D20" s="6">
        <f t="shared" si="0"/>
        <v>1.1764705882352942</v>
      </c>
      <c r="E20" s="7"/>
      <c r="F20" s="7"/>
      <c r="G20" s="7"/>
      <c r="H20" s="7"/>
    </row>
    <row r="21" spans="1:8" ht="15.75" customHeight="1">
      <c r="A21" s="8">
        <v>20</v>
      </c>
      <c r="B21" s="17">
        <v>9</v>
      </c>
      <c r="C21" s="17">
        <v>9</v>
      </c>
      <c r="D21" s="6">
        <f t="shared" si="0"/>
        <v>1</v>
      </c>
      <c r="E21" s="7"/>
      <c r="F21" s="7"/>
      <c r="G21" s="7"/>
      <c r="H21" s="7"/>
    </row>
    <row r="22" spans="1:8" ht="15.75" customHeight="1">
      <c r="A22" s="8">
        <v>21</v>
      </c>
      <c r="B22" s="17">
        <v>10</v>
      </c>
      <c r="C22" s="17">
        <v>10</v>
      </c>
      <c r="D22" s="6">
        <f t="shared" si="0"/>
        <v>1</v>
      </c>
      <c r="E22" s="7"/>
      <c r="F22" s="7"/>
      <c r="G22" s="7"/>
      <c r="H22" s="7"/>
    </row>
    <row r="23" spans="1:8" ht="15.75" customHeight="1">
      <c r="A23" s="8">
        <v>22</v>
      </c>
      <c r="B23" s="17">
        <v>9</v>
      </c>
      <c r="C23" s="17">
        <v>9</v>
      </c>
      <c r="D23" s="6">
        <f t="shared" si="0"/>
        <v>1</v>
      </c>
      <c r="E23" s="7"/>
      <c r="F23" s="7"/>
      <c r="G23" s="7"/>
      <c r="H23" s="7"/>
    </row>
    <row r="24" spans="1:8" ht="15.75" customHeight="1">
      <c r="A24" s="8">
        <v>23</v>
      </c>
      <c r="B24" s="17">
        <v>8</v>
      </c>
      <c r="C24" s="17">
        <v>8</v>
      </c>
      <c r="D24" s="6">
        <f t="shared" si="0"/>
        <v>1</v>
      </c>
      <c r="E24" s="7"/>
      <c r="F24" s="7"/>
      <c r="G24" s="7"/>
      <c r="H24" s="7"/>
    </row>
    <row r="25" spans="1:8" ht="15.75" customHeight="1">
      <c r="A25" s="8">
        <v>24</v>
      </c>
      <c r="B25" s="17">
        <v>8.5</v>
      </c>
      <c r="C25" s="17">
        <v>8</v>
      </c>
      <c r="D25" s="6">
        <f t="shared" si="0"/>
        <v>1.0625</v>
      </c>
      <c r="E25" s="7"/>
      <c r="F25" s="7"/>
      <c r="G25" s="7"/>
      <c r="H25" s="7"/>
    </row>
    <row r="26" spans="1:8" ht="15.75" customHeight="1">
      <c r="A26" s="8">
        <v>25</v>
      </c>
      <c r="B26" s="17">
        <v>9</v>
      </c>
      <c r="C26" s="17">
        <v>9</v>
      </c>
      <c r="D26" s="6">
        <f t="shared" si="0"/>
        <v>1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9.6</v>
      </c>
      <c r="C27" s="5">
        <f t="shared" si="1"/>
        <v>9.3800000000000008</v>
      </c>
      <c r="D27" s="9">
        <f t="shared" si="1"/>
        <v>1.0244529247244283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8</v>
      </c>
      <c r="C28" s="5">
        <f t="shared" si="2"/>
        <v>8</v>
      </c>
      <c r="D28" s="9">
        <f t="shared" si="2"/>
        <v>0.95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12</v>
      </c>
      <c r="C29" s="5">
        <f t="shared" si="3"/>
        <v>11.5</v>
      </c>
      <c r="D29" s="9">
        <f t="shared" si="3"/>
        <v>1.1764705882352942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9" ht="15.75" customHeight="1">
      <c r="A33" s="4">
        <v>1</v>
      </c>
      <c r="B33" s="17">
        <v>51.5</v>
      </c>
      <c r="C33" s="17">
        <v>14.5</v>
      </c>
      <c r="D33" s="13">
        <v>4</v>
      </c>
      <c r="E33" s="17">
        <v>7</v>
      </c>
      <c r="F33" s="7"/>
      <c r="G33" s="7"/>
      <c r="H33" s="14" t="s">
        <v>198</v>
      </c>
    </row>
    <row r="34" spans="1:9" ht="15.75" customHeight="1">
      <c r="A34" s="4">
        <v>2</v>
      </c>
      <c r="B34" s="17">
        <v>38</v>
      </c>
      <c r="C34" s="17">
        <v>11</v>
      </c>
      <c r="D34" s="13">
        <v>3</v>
      </c>
      <c r="E34" s="17">
        <v>7</v>
      </c>
      <c r="F34" s="7"/>
      <c r="G34" s="7"/>
      <c r="H34" s="14" t="s">
        <v>199</v>
      </c>
      <c r="I34" s="1" t="s">
        <v>200</v>
      </c>
    </row>
    <row r="35" spans="1:9" ht="15.75" customHeight="1">
      <c r="A35" s="4">
        <v>3</v>
      </c>
      <c r="B35" s="17">
        <v>45</v>
      </c>
      <c r="C35" s="17">
        <v>13</v>
      </c>
      <c r="D35" s="13">
        <v>4</v>
      </c>
      <c r="E35" s="14">
        <v>3.5</v>
      </c>
      <c r="F35" s="7"/>
      <c r="G35" s="7"/>
      <c r="H35" s="7"/>
    </row>
    <row r="36" spans="1:9" ht="15.75" customHeight="1">
      <c r="A36" s="4">
        <v>4</v>
      </c>
      <c r="B36" s="17">
        <v>45</v>
      </c>
      <c r="C36" s="17">
        <v>12.5</v>
      </c>
      <c r="D36" s="13">
        <v>4</v>
      </c>
      <c r="E36" s="17">
        <v>7</v>
      </c>
      <c r="F36" s="7"/>
      <c r="G36" s="7"/>
      <c r="H36" s="7"/>
    </row>
    <row r="37" spans="1:9" ht="15.75" customHeight="1">
      <c r="A37" s="4">
        <v>5</v>
      </c>
      <c r="B37" s="17">
        <v>41.5</v>
      </c>
      <c r="C37" s="17">
        <v>12</v>
      </c>
      <c r="D37" s="13">
        <v>4</v>
      </c>
      <c r="E37" s="17">
        <v>5</v>
      </c>
      <c r="F37" s="7"/>
      <c r="G37" s="7"/>
      <c r="H37" s="7"/>
    </row>
    <row r="38" spans="1:9" ht="15.75" customHeight="1">
      <c r="A38" s="4">
        <v>6</v>
      </c>
      <c r="B38" s="17">
        <v>45.5</v>
      </c>
      <c r="C38" s="17">
        <v>10.5</v>
      </c>
      <c r="D38" s="13">
        <v>4</v>
      </c>
      <c r="E38" s="17">
        <v>4.5</v>
      </c>
      <c r="F38" s="7"/>
      <c r="G38" s="7"/>
      <c r="H38" s="7"/>
    </row>
    <row r="39" spans="1:9" ht="15.75" customHeight="1">
      <c r="A39" s="4">
        <v>7</v>
      </c>
      <c r="B39" s="17">
        <v>42.5</v>
      </c>
      <c r="C39" s="17">
        <v>12.5</v>
      </c>
      <c r="D39" s="13">
        <v>4</v>
      </c>
      <c r="E39" s="17">
        <v>6.5</v>
      </c>
      <c r="F39" s="7"/>
      <c r="G39" s="7"/>
      <c r="H39" s="7"/>
    </row>
    <row r="40" spans="1:9" ht="15.75" customHeight="1">
      <c r="A40" s="4">
        <v>8</v>
      </c>
      <c r="B40" s="17">
        <v>40.5</v>
      </c>
      <c r="C40" s="17">
        <v>13</v>
      </c>
      <c r="D40" s="13">
        <v>4</v>
      </c>
      <c r="E40" s="17">
        <v>6.5</v>
      </c>
      <c r="F40" s="7"/>
      <c r="G40" s="7"/>
      <c r="H40" s="7"/>
    </row>
    <row r="41" spans="1:9" ht="15.75" customHeight="1">
      <c r="A41" s="4">
        <v>9</v>
      </c>
      <c r="B41" s="17">
        <v>42</v>
      </c>
      <c r="C41" s="17">
        <v>12.5</v>
      </c>
      <c r="D41" s="13">
        <v>4</v>
      </c>
      <c r="E41" s="17">
        <v>7</v>
      </c>
      <c r="F41" s="7"/>
      <c r="G41" s="7"/>
      <c r="H41" s="7"/>
    </row>
    <row r="42" spans="1:9" ht="15.75" customHeight="1">
      <c r="A42" s="4">
        <v>10</v>
      </c>
      <c r="B42" s="17">
        <v>40</v>
      </c>
      <c r="C42" s="17">
        <v>12</v>
      </c>
      <c r="D42" s="13">
        <v>4</v>
      </c>
      <c r="E42" s="17">
        <v>4</v>
      </c>
      <c r="F42" s="7"/>
      <c r="G42" s="7"/>
      <c r="H42" s="7"/>
    </row>
    <row r="43" spans="1:9" ht="15.75" customHeight="1">
      <c r="A43" s="8">
        <v>11</v>
      </c>
      <c r="B43" s="17">
        <v>45</v>
      </c>
      <c r="C43" s="17">
        <v>14</v>
      </c>
      <c r="D43" s="13">
        <v>4</v>
      </c>
      <c r="E43" s="17">
        <v>4.5</v>
      </c>
      <c r="F43" s="7"/>
      <c r="G43" s="7"/>
      <c r="H43" s="7"/>
    </row>
    <row r="44" spans="1:9" ht="15.75" customHeight="1">
      <c r="A44" s="8">
        <v>12</v>
      </c>
      <c r="B44" s="1">
        <v>40</v>
      </c>
      <c r="C44" s="1">
        <v>14</v>
      </c>
      <c r="D44" s="12">
        <v>4</v>
      </c>
      <c r="E44" s="1">
        <v>5.5</v>
      </c>
      <c r="F44" s="7"/>
      <c r="G44" s="7"/>
      <c r="H44" s="7"/>
    </row>
    <row r="45" spans="1:9" ht="15.75" customHeight="1">
      <c r="A45" s="8">
        <v>13</v>
      </c>
      <c r="B45" s="1">
        <v>35.5</v>
      </c>
      <c r="C45" s="1">
        <v>12</v>
      </c>
      <c r="D45" s="12">
        <v>4</v>
      </c>
      <c r="E45" s="1">
        <v>5.5</v>
      </c>
      <c r="F45" s="7"/>
      <c r="G45" s="7"/>
      <c r="H45" s="14" t="s">
        <v>201</v>
      </c>
    </row>
    <row r="46" spans="1:9" ht="15.75" customHeight="1">
      <c r="A46" s="8">
        <v>14</v>
      </c>
      <c r="B46" s="1">
        <v>46</v>
      </c>
      <c r="C46" s="1">
        <v>13</v>
      </c>
      <c r="D46" s="12">
        <v>4</v>
      </c>
      <c r="E46" s="1">
        <v>5</v>
      </c>
      <c r="F46" s="7"/>
      <c r="G46" s="7"/>
      <c r="H46" s="7"/>
    </row>
    <row r="47" spans="1:9" ht="15.75" customHeight="1">
      <c r="A47" s="8">
        <v>15</v>
      </c>
      <c r="B47" s="1">
        <v>42</v>
      </c>
      <c r="C47" s="1">
        <v>13.5</v>
      </c>
      <c r="D47" s="12">
        <v>4</v>
      </c>
      <c r="E47" s="1">
        <v>6.5</v>
      </c>
      <c r="F47" s="7"/>
      <c r="G47" s="7"/>
      <c r="H47" s="7"/>
    </row>
    <row r="48" spans="1:9" ht="15.75" customHeight="1">
      <c r="A48" s="8">
        <v>16</v>
      </c>
      <c r="D48" s="12">
        <v>4</v>
      </c>
      <c r="F48" s="7"/>
      <c r="G48" s="7"/>
      <c r="H48" s="7"/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42.666666666666664</v>
      </c>
      <c r="C58" s="5">
        <f t="shared" si="4"/>
        <v>12.666666666666666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35.5</v>
      </c>
      <c r="C59" s="5">
        <f t="shared" si="5"/>
        <v>10.5</v>
      </c>
      <c r="D59" s="11">
        <f t="shared" si="5"/>
        <v>3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46</v>
      </c>
      <c r="C60" s="5">
        <f t="shared" si="6"/>
        <v>14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14">
        <v>90</v>
      </c>
      <c r="D63" s="18">
        <v>10</v>
      </c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3.5</v>
      </c>
      <c r="C65" s="14">
        <v>77</v>
      </c>
      <c r="D65" s="18">
        <v>57.5</v>
      </c>
      <c r="E65" s="7"/>
      <c r="F65" s="7"/>
      <c r="G65" s="7"/>
      <c r="H65" s="7"/>
    </row>
    <row r="66" spans="1:8" ht="14">
      <c r="A66" s="2"/>
      <c r="B66" s="14">
        <v>8</v>
      </c>
      <c r="C66" s="14">
        <v>65</v>
      </c>
      <c r="D66" s="18">
        <v>51</v>
      </c>
      <c r="E66" s="7"/>
      <c r="F66" s="7"/>
      <c r="G66" s="7"/>
      <c r="H66" s="7"/>
    </row>
    <row r="67" spans="1:8" ht="14">
      <c r="A67" s="2"/>
      <c r="B67" s="14">
        <v>9.5</v>
      </c>
      <c r="C67" s="14">
        <v>81.5</v>
      </c>
      <c r="D67" s="18">
        <v>62</v>
      </c>
      <c r="E67" s="7"/>
      <c r="F67" s="7"/>
      <c r="G67" s="7"/>
      <c r="H67" s="7"/>
    </row>
    <row r="68" spans="1:8" ht="14">
      <c r="A68" s="2"/>
      <c r="B68" s="14">
        <v>6</v>
      </c>
      <c r="C68" s="14">
        <v>25</v>
      </c>
      <c r="D68" s="18">
        <v>16</v>
      </c>
      <c r="E68" s="7"/>
      <c r="F68" s="7"/>
      <c r="G68" s="7"/>
      <c r="H68" s="7"/>
    </row>
    <row r="69" spans="1:8" ht="14">
      <c r="A69" s="2"/>
      <c r="B69" s="14">
        <v>5</v>
      </c>
      <c r="C69" s="14">
        <v>66</v>
      </c>
      <c r="D69" s="18">
        <v>47</v>
      </c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 t="s">
        <v>202</v>
      </c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137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I1006"/>
  <sheetViews>
    <sheetView workbookViewId="0"/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9.5</v>
      </c>
      <c r="C2" s="17">
        <v>8</v>
      </c>
      <c r="D2" s="6">
        <f t="shared" ref="D2:D26" si="0">B2/C2</f>
        <v>1.1875</v>
      </c>
      <c r="E2" s="7"/>
      <c r="F2" s="7"/>
      <c r="G2" s="14" t="s">
        <v>29</v>
      </c>
      <c r="H2" s="7"/>
    </row>
    <row r="3" spans="1:8" ht="15.75" customHeight="1">
      <c r="A3" s="4">
        <v>2</v>
      </c>
      <c r="B3" s="17">
        <v>9</v>
      </c>
      <c r="C3" s="17">
        <v>8</v>
      </c>
      <c r="D3" s="6">
        <f t="shared" si="0"/>
        <v>1.125</v>
      </c>
      <c r="E3" s="7"/>
      <c r="F3" s="7"/>
      <c r="G3" s="7"/>
      <c r="H3" s="7"/>
    </row>
    <row r="4" spans="1:8" ht="15.75" customHeight="1">
      <c r="A4" s="4">
        <v>3</v>
      </c>
      <c r="B4" s="17">
        <v>8</v>
      </c>
      <c r="C4" s="17">
        <v>7.5</v>
      </c>
      <c r="D4" s="6">
        <f t="shared" si="0"/>
        <v>1.0666666666666667</v>
      </c>
      <c r="E4" s="7"/>
      <c r="F4" s="7"/>
      <c r="G4" s="7"/>
      <c r="H4" s="7"/>
    </row>
    <row r="5" spans="1:8" ht="15.75" customHeight="1">
      <c r="A5" s="4">
        <v>4</v>
      </c>
      <c r="B5" s="17">
        <v>8</v>
      </c>
      <c r="C5" s="17">
        <v>8.5</v>
      </c>
      <c r="D5" s="6">
        <f t="shared" si="0"/>
        <v>0.94117647058823528</v>
      </c>
      <c r="E5" s="7"/>
      <c r="F5" s="7"/>
      <c r="G5" s="7"/>
      <c r="H5" s="7"/>
    </row>
    <row r="6" spans="1:8" ht="15.75" customHeight="1">
      <c r="A6" s="4">
        <v>5</v>
      </c>
      <c r="B6" s="17">
        <v>9</v>
      </c>
      <c r="C6" s="17">
        <v>8.5</v>
      </c>
      <c r="D6" s="6">
        <f t="shared" si="0"/>
        <v>1.0588235294117647</v>
      </c>
      <c r="E6" s="7"/>
      <c r="F6" s="7"/>
      <c r="G6" s="7"/>
      <c r="H6" s="7"/>
    </row>
    <row r="7" spans="1:8" ht="15.75" customHeight="1">
      <c r="A7" s="4">
        <v>6</v>
      </c>
      <c r="B7" s="17">
        <v>11</v>
      </c>
      <c r="C7" s="17">
        <v>9</v>
      </c>
      <c r="D7" s="6">
        <f t="shared" si="0"/>
        <v>1.2222222222222223</v>
      </c>
      <c r="E7" s="7"/>
      <c r="F7" s="7"/>
      <c r="G7" s="7"/>
      <c r="H7" s="7"/>
    </row>
    <row r="8" spans="1:8" ht="15.75" customHeight="1">
      <c r="A8" s="4">
        <v>7</v>
      </c>
      <c r="B8" s="17">
        <v>8</v>
      </c>
      <c r="C8" s="17">
        <v>8</v>
      </c>
      <c r="D8" s="6">
        <f t="shared" si="0"/>
        <v>1</v>
      </c>
      <c r="E8" s="7"/>
      <c r="F8" s="7"/>
      <c r="G8" s="7"/>
      <c r="H8" s="7"/>
    </row>
    <row r="9" spans="1:8" ht="15.75" customHeight="1">
      <c r="A9" s="4">
        <v>8</v>
      </c>
      <c r="B9" s="17">
        <v>8.5</v>
      </c>
      <c r="C9" s="17">
        <v>7.5</v>
      </c>
      <c r="D9" s="6">
        <f t="shared" si="0"/>
        <v>1.1333333333333333</v>
      </c>
      <c r="E9" s="7"/>
      <c r="F9" s="7"/>
      <c r="G9" s="7"/>
      <c r="H9" s="7"/>
    </row>
    <row r="10" spans="1:8" ht="15.75" customHeight="1">
      <c r="A10" s="4">
        <v>9</v>
      </c>
      <c r="B10" s="17">
        <v>9.5</v>
      </c>
      <c r="C10" s="17">
        <v>8</v>
      </c>
      <c r="D10" s="6">
        <f t="shared" si="0"/>
        <v>1.1875</v>
      </c>
      <c r="E10" s="7"/>
      <c r="F10" s="7"/>
      <c r="G10" s="7"/>
      <c r="H10" s="7"/>
    </row>
    <row r="11" spans="1:8" ht="15.75" customHeight="1">
      <c r="A11" s="4">
        <v>10</v>
      </c>
      <c r="B11" s="17">
        <v>9.5</v>
      </c>
      <c r="C11" s="17">
        <v>7.5</v>
      </c>
      <c r="D11" s="6">
        <f t="shared" si="0"/>
        <v>1.2666666666666666</v>
      </c>
      <c r="E11" s="7"/>
      <c r="F11" s="7"/>
      <c r="G11" s="7"/>
      <c r="H11" s="7"/>
    </row>
    <row r="12" spans="1:8" ht="15.75" customHeight="1">
      <c r="A12" s="8">
        <v>11</v>
      </c>
      <c r="B12" s="17">
        <v>8.5</v>
      </c>
      <c r="C12" s="17">
        <v>10</v>
      </c>
      <c r="D12" s="6">
        <f t="shared" si="0"/>
        <v>0.85</v>
      </c>
      <c r="E12" s="7"/>
      <c r="F12" s="7"/>
      <c r="G12" s="7"/>
      <c r="H12" s="7"/>
    </row>
    <row r="13" spans="1:8" ht="15.75" customHeight="1">
      <c r="A13" s="8">
        <v>12</v>
      </c>
      <c r="B13" s="17">
        <v>8.5</v>
      </c>
      <c r="C13" s="17">
        <v>7</v>
      </c>
      <c r="D13" s="6">
        <f t="shared" si="0"/>
        <v>1.2142857142857142</v>
      </c>
      <c r="E13" s="7"/>
      <c r="F13" s="7"/>
      <c r="G13" s="7"/>
      <c r="H13" s="7"/>
    </row>
    <row r="14" spans="1:8" ht="15.75" customHeight="1">
      <c r="A14" s="8">
        <v>13</v>
      </c>
      <c r="B14" s="17">
        <v>9</v>
      </c>
      <c r="C14" s="17">
        <v>8</v>
      </c>
      <c r="D14" s="6">
        <f t="shared" si="0"/>
        <v>1.125</v>
      </c>
      <c r="E14" s="7"/>
      <c r="F14" s="7"/>
      <c r="G14" s="7"/>
      <c r="H14" s="7"/>
    </row>
    <row r="15" spans="1:8" ht="15.75" customHeight="1">
      <c r="A15" s="8">
        <v>14</v>
      </c>
      <c r="B15" s="17">
        <v>8.5</v>
      </c>
      <c r="C15" s="17">
        <v>7.5</v>
      </c>
      <c r="D15" s="6">
        <f t="shared" si="0"/>
        <v>1.1333333333333333</v>
      </c>
      <c r="E15" s="7"/>
      <c r="F15" s="7"/>
      <c r="G15" s="7"/>
      <c r="H15" s="7"/>
    </row>
    <row r="16" spans="1:8" ht="15.75" customHeight="1">
      <c r="A16" s="8">
        <v>15</v>
      </c>
      <c r="B16" s="17">
        <v>8.5</v>
      </c>
      <c r="C16" s="17">
        <v>8</v>
      </c>
      <c r="D16" s="6">
        <f t="shared" si="0"/>
        <v>1.0625</v>
      </c>
      <c r="E16" s="7"/>
      <c r="F16" s="7"/>
      <c r="G16" s="7"/>
      <c r="H16" s="7"/>
    </row>
    <row r="17" spans="1:8" ht="15.75" customHeight="1">
      <c r="A17" s="8">
        <v>16</v>
      </c>
      <c r="B17" s="17">
        <v>9</v>
      </c>
      <c r="C17" s="17">
        <v>8</v>
      </c>
      <c r="D17" s="6">
        <f t="shared" si="0"/>
        <v>1.125</v>
      </c>
      <c r="E17" s="7"/>
      <c r="F17" s="7"/>
      <c r="G17" s="7"/>
      <c r="H17" s="7"/>
    </row>
    <row r="18" spans="1:8" ht="15.75" customHeight="1">
      <c r="A18" s="8">
        <v>17</v>
      </c>
      <c r="B18" s="17">
        <v>8.5</v>
      </c>
      <c r="C18" s="17">
        <v>8.5</v>
      </c>
      <c r="D18" s="6">
        <f t="shared" si="0"/>
        <v>1</v>
      </c>
      <c r="E18" s="7"/>
      <c r="F18" s="7"/>
      <c r="G18" s="7"/>
      <c r="H18" s="7"/>
    </row>
    <row r="19" spans="1:8" ht="15.75" customHeight="1">
      <c r="A19" s="8">
        <v>18</v>
      </c>
      <c r="B19" s="17">
        <v>9.5</v>
      </c>
      <c r="C19" s="17">
        <v>8</v>
      </c>
      <c r="D19" s="6">
        <f t="shared" si="0"/>
        <v>1.1875</v>
      </c>
      <c r="E19" s="7"/>
      <c r="F19" s="7"/>
      <c r="G19" s="7"/>
      <c r="H19" s="7"/>
    </row>
    <row r="20" spans="1:8" ht="15.75" customHeight="1">
      <c r="A20" s="8">
        <v>19</v>
      </c>
      <c r="B20" s="17">
        <v>9</v>
      </c>
      <c r="C20" s="17">
        <v>7.5</v>
      </c>
      <c r="D20" s="6">
        <f t="shared" si="0"/>
        <v>1.2</v>
      </c>
      <c r="E20" s="7"/>
      <c r="F20" s="7"/>
      <c r="G20" s="7"/>
      <c r="H20" s="7"/>
    </row>
    <row r="21" spans="1:8" ht="15.75" customHeight="1">
      <c r="A21" s="8">
        <v>20</v>
      </c>
      <c r="B21" s="17">
        <v>8.5</v>
      </c>
      <c r="C21" s="17">
        <v>8</v>
      </c>
      <c r="D21" s="6">
        <f t="shared" si="0"/>
        <v>1.0625</v>
      </c>
      <c r="E21" s="7"/>
      <c r="F21" s="7"/>
      <c r="G21" s="7"/>
      <c r="H21" s="7"/>
    </row>
    <row r="22" spans="1:8" ht="15.75" customHeight="1">
      <c r="A22" s="8">
        <v>21</v>
      </c>
      <c r="B22" s="17">
        <v>8</v>
      </c>
      <c r="C22" s="17">
        <v>7.5</v>
      </c>
      <c r="D22" s="6">
        <f t="shared" si="0"/>
        <v>1.0666666666666667</v>
      </c>
      <c r="E22" s="7"/>
      <c r="F22" s="7"/>
      <c r="G22" s="7"/>
      <c r="H22" s="7"/>
    </row>
    <row r="23" spans="1:8" ht="15.75" customHeight="1">
      <c r="A23" s="8">
        <v>22</v>
      </c>
      <c r="B23" s="17">
        <v>8.5</v>
      </c>
      <c r="C23" s="17">
        <v>8</v>
      </c>
      <c r="D23" s="6">
        <f t="shared" si="0"/>
        <v>1.0625</v>
      </c>
      <c r="E23" s="7"/>
      <c r="F23" s="7"/>
      <c r="G23" s="7"/>
      <c r="H23" s="7"/>
    </row>
    <row r="24" spans="1:8" ht="15.75" customHeight="1">
      <c r="A24" s="8">
        <v>23</v>
      </c>
      <c r="B24" s="17">
        <v>9.5</v>
      </c>
      <c r="C24" s="17">
        <v>8</v>
      </c>
      <c r="D24" s="6">
        <f t="shared" si="0"/>
        <v>1.1875</v>
      </c>
      <c r="E24" s="7"/>
      <c r="F24" s="7"/>
      <c r="G24" s="7"/>
      <c r="H24" s="7"/>
    </row>
    <row r="25" spans="1:8" ht="15.75" customHeight="1">
      <c r="A25" s="8">
        <v>24</v>
      </c>
      <c r="B25" s="17">
        <v>8</v>
      </c>
      <c r="C25" s="17">
        <v>7</v>
      </c>
      <c r="D25" s="6">
        <f t="shared" si="0"/>
        <v>1.1428571428571428</v>
      </c>
      <c r="E25" s="7"/>
      <c r="F25" s="7"/>
      <c r="G25" s="7"/>
      <c r="H25" s="7"/>
    </row>
    <row r="26" spans="1:8" ht="15.75" customHeight="1">
      <c r="A26" s="8">
        <v>25</v>
      </c>
      <c r="B26" s="17">
        <v>7.5</v>
      </c>
      <c r="C26" s="17">
        <v>8.5</v>
      </c>
      <c r="D26" s="6">
        <f t="shared" si="0"/>
        <v>0.88235294117647056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8.76</v>
      </c>
      <c r="C27" s="5">
        <f t="shared" si="1"/>
        <v>8</v>
      </c>
      <c r="D27" s="9">
        <f t="shared" si="1"/>
        <v>1.0996353874883287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7.5</v>
      </c>
      <c r="C28" s="5">
        <f t="shared" si="2"/>
        <v>7</v>
      </c>
      <c r="D28" s="9">
        <f t="shared" si="2"/>
        <v>0.85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11</v>
      </c>
      <c r="C29" s="5">
        <f t="shared" si="3"/>
        <v>10</v>
      </c>
      <c r="D29" s="9">
        <f t="shared" si="3"/>
        <v>1.2666666666666666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9" ht="15.75" customHeight="1">
      <c r="A33" s="4">
        <v>1</v>
      </c>
      <c r="B33" s="17">
        <v>43.5</v>
      </c>
      <c r="C33" s="17">
        <v>11</v>
      </c>
      <c r="D33" s="13">
        <v>4</v>
      </c>
      <c r="E33" s="17">
        <v>3</v>
      </c>
      <c r="F33" s="7"/>
      <c r="G33" s="7"/>
      <c r="H33" s="7"/>
    </row>
    <row r="34" spans="1:9" ht="15.75" customHeight="1">
      <c r="A34" s="4">
        <v>2</v>
      </c>
      <c r="B34" s="17">
        <v>35</v>
      </c>
      <c r="C34" s="17">
        <v>9</v>
      </c>
      <c r="D34" s="13">
        <v>2</v>
      </c>
      <c r="E34" s="17">
        <v>7</v>
      </c>
      <c r="F34" s="7"/>
      <c r="G34" s="7"/>
      <c r="H34" s="7"/>
    </row>
    <row r="35" spans="1:9" ht="15.75" customHeight="1">
      <c r="A35" s="4">
        <v>3</v>
      </c>
      <c r="B35" s="17">
        <v>38.5</v>
      </c>
      <c r="C35" s="17">
        <v>13</v>
      </c>
      <c r="D35" s="13">
        <v>4</v>
      </c>
      <c r="E35" s="14">
        <v>4</v>
      </c>
      <c r="F35" s="7"/>
      <c r="G35" s="7"/>
      <c r="H35" s="7"/>
    </row>
    <row r="36" spans="1:9" ht="15.75" customHeight="1">
      <c r="A36" s="4">
        <v>4</v>
      </c>
      <c r="B36" s="17">
        <v>39.5</v>
      </c>
      <c r="C36" s="17">
        <v>12</v>
      </c>
      <c r="D36" s="13">
        <v>2</v>
      </c>
      <c r="E36" s="17">
        <v>4.5</v>
      </c>
      <c r="F36" s="7"/>
      <c r="G36" s="7"/>
      <c r="H36" s="7"/>
    </row>
    <row r="37" spans="1:9" ht="15.75" customHeight="1">
      <c r="A37" s="4">
        <v>5</v>
      </c>
      <c r="B37" s="17">
        <v>36.5</v>
      </c>
      <c r="C37" s="17" t="s">
        <v>203</v>
      </c>
      <c r="D37" s="13">
        <v>4</v>
      </c>
      <c r="E37" s="17">
        <v>4.5</v>
      </c>
      <c r="F37" s="7"/>
      <c r="G37" s="7"/>
      <c r="H37" s="7"/>
    </row>
    <row r="38" spans="1:9" ht="15.75" customHeight="1">
      <c r="A38" s="4">
        <v>6</v>
      </c>
      <c r="B38" s="17">
        <v>35</v>
      </c>
      <c r="C38" s="17">
        <v>10</v>
      </c>
      <c r="D38" s="13">
        <v>4</v>
      </c>
      <c r="E38" s="17">
        <v>4</v>
      </c>
      <c r="F38" s="7"/>
      <c r="G38" s="7"/>
      <c r="H38" s="7"/>
    </row>
    <row r="39" spans="1:9" ht="15.75" customHeight="1">
      <c r="A39" s="4">
        <v>7</v>
      </c>
      <c r="B39" s="17">
        <v>43.5</v>
      </c>
      <c r="C39" s="17">
        <v>11</v>
      </c>
      <c r="D39" s="13">
        <v>4</v>
      </c>
      <c r="E39" s="17">
        <v>4</v>
      </c>
      <c r="F39" s="7"/>
      <c r="G39" s="7"/>
      <c r="H39" s="7"/>
    </row>
    <row r="40" spans="1:9" ht="15.75" customHeight="1">
      <c r="A40" s="4">
        <v>8</v>
      </c>
      <c r="B40" s="17">
        <v>40.5</v>
      </c>
      <c r="C40" s="17">
        <v>11.5</v>
      </c>
      <c r="D40" s="13">
        <v>4</v>
      </c>
      <c r="E40" s="17">
        <v>4</v>
      </c>
      <c r="F40" s="7"/>
      <c r="G40" s="7"/>
      <c r="H40" s="7"/>
    </row>
    <row r="41" spans="1:9" ht="15.75" customHeight="1">
      <c r="A41" s="4">
        <v>9</v>
      </c>
      <c r="B41" s="17">
        <v>40</v>
      </c>
      <c r="C41" s="17">
        <v>12</v>
      </c>
      <c r="D41" s="13">
        <v>4</v>
      </c>
      <c r="E41" s="17">
        <v>3.5</v>
      </c>
      <c r="F41" s="7"/>
      <c r="G41" s="7"/>
      <c r="H41" s="14" t="s">
        <v>204</v>
      </c>
      <c r="I41" s="1" t="s">
        <v>205</v>
      </c>
    </row>
    <row r="42" spans="1:9" ht="15.75" customHeight="1">
      <c r="A42" s="4">
        <v>10</v>
      </c>
      <c r="B42" s="17">
        <v>40</v>
      </c>
      <c r="C42" s="17">
        <v>12.5</v>
      </c>
      <c r="D42" s="13">
        <v>4</v>
      </c>
      <c r="E42" s="17">
        <v>3</v>
      </c>
      <c r="F42" s="7"/>
      <c r="G42" s="7"/>
      <c r="H42" s="7"/>
    </row>
    <row r="43" spans="1:9" ht="15.75" customHeight="1">
      <c r="A43" s="8">
        <v>11</v>
      </c>
      <c r="B43" s="17">
        <v>38</v>
      </c>
      <c r="C43" s="17">
        <v>12</v>
      </c>
      <c r="D43" s="13">
        <v>4</v>
      </c>
      <c r="E43" s="17" t="s">
        <v>134</v>
      </c>
      <c r="F43" s="7"/>
      <c r="G43" s="7"/>
      <c r="H43" s="7"/>
    </row>
    <row r="44" spans="1:9" ht="15.75" customHeight="1">
      <c r="A44" s="8">
        <v>12</v>
      </c>
      <c r="B44" s="1">
        <v>40</v>
      </c>
      <c r="C44" s="1">
        <v>11</v>
      </c>
      <c r="D44" s="12">
        <v>4</v>
      </c>
      <c r="E44" s="1">
        <v>4.5</v>
      </c>
      <c r="F44" s="7"/>
      <c r="G44" s="7"/>
      <c r="H44" s="7"/>
    </row>
    <row r="45" spans="1:9" ht="15.75" customHeight="1">
      <c r="A45" s="8">
        <v>13</v>
      </c>
      <c r="D45" s="12">
        <v>4</v>
      </c>
      <c r="F45" s="7"/>
      <c r="G45" s="7"/>
      <c r="H45" s="14" t="s">
        <v>206</v>
      </c>
    </row>
    <row r="46" spans="1:9" ht="15.75" customHeight="1">
      <c r="A46" s="8">
        <v>14</v>
      </c>
      <c r="B46" s="1">
        <v>35.5</v>
      </c>
      <c r="C46" s="1">
        <v>12</v>
      </c>
      <c r="D46" s="12">
        <v>4</v>
      </c>
      <c r="E46" s="1" t="s">
        <v>134</v>
      </c>
      <c r="F46" s="7"/>
      <c r="G46" s="7"/>
      <c r="H46" s="7"/>
    </row>
    <row r="47" spans="1:9" ht="15.75" customHeight="1">
      <c r="A47" s="8">
        <v>15</v>
      </c>
      <c r="D47" s="12">
        <v>4</v>
      </c>
      <c r="F47" s="7"/>
      <c r="G47" s="7"/>
      <c r="H47" s="7"/>
    </row>
    <row r="48" spans="1:9" ht="15.75" customHeight="1">
      <c r="A48" s="8">
        <v>16</v>
      </c>
      <c r="D48" s="12" t="s">
        <v>207</v>
      </c>
      <c r="F48" s="7"/>
      <c r="G48" s="7"/>
      <c r="H48" s="14" t="s">
        <v>208</v>
      </c>
    </row>
    <row r="49" spans="1:9" ht="15.75" customHeight="1">
      <c r="A49" s="8">
        <v>17</v>
      </c>
      <c r="D49" s="12">
        <v>2</v>
      </c>
      <c r="F49" s="7"/>
      <c r="G49" s="7"/>
      <c r="H49" s="7"/>
    </row>
    <row r="50" spans="1:9" ht="15.75" customHeight="1">
      <c r="A50" s="8">
        <v>18</v>
      </c>
      <c r="D50" s="12">
        <v>4</v>
      </c>
      <c r="F50" s="7"/>
      <c r="G50" s="7"/>
      <c r="H50" s="7"/>
    </row>
    <row r="51" spans="1:9" ht="15.75" customHeight="1">
      <c r="A51" s="8">
        <v>19</v>
      </c>
      <c r="D51" s="12">
        <v>4</v>
      </c>
      <c r="F51" s="7"/>
      <c r="G51" s="7"/>
      <c r="H51" s="7"/>
    </row>
    <row r="52" spans="1:9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9" ht="15.75" customHeight="1">
      <c r="A53" s="8">
        <v>21</v>
      </c>
      <c r="B53" s="5"/>
      <c r="C53" s="5"/>
      <c r="D53" s="13">
        <v>2</v>
      </c>
      <c r="E53" s="5"/>
      <c r="F53" s="7"/>
      <c r="G53" s="7"/>
      <c r="H53" s="7"/>
    </row>
    <row r="54" spans="1:9" ht="14">
      <c r="A54" s="8">
        <v>22</v>
      </c>
      <c r="B54" s="5"/>
      <c r="C54" s="5"/>
      <c r="D54" s="13">
        <v>2</v>
      </c>
      <c r="E54" s="5"/>
      <c r="F54" s="7"/>
      <c r="G54" s="7"/>
      <c r="H54" s="7"/>
    </row>
    <row r="55" spans="1:9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9" ht="14">
      <c r="A56" s="8">
        <v>24</v>
      </c>
      <c r="B56" s="5"/>
      <c r="C56" s="5"/>
      <c r="D56" s="13">
        <v>4</v>
      </c>
      <c r="E56" s="5"/>
      <c r="F56" s="7"/>
      <c r="G56" s="7"/>
      <c r="H56" s="14" t="s">
        <v>209</v>
      </c>
      <c r="I56" s="1" t="s">
        <v>210</v>
      </c>
    </row>
    <row r="57" spans="1:9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9" ht="14">
      <c r="A58" s="4" t="s">
        <v>10</v>
      </c>
      <c r="B58" s="5">
        <f t="shared" ref="B58:C58" si="4">AVERAGE(B33:B57)</f>
        <v>38.884615384615387</v>
      </c>
      <c r="C58" s="5">
        <f t="shared" si="4"/>
        <v>11.416666666666666</v>
      </c>
      <c r="D58" s="13" t="s">
        <v>18</v>
      </c>
      <c r="E58" s="7"/>
      <c r="F58" s="7"/>
      <c r="G58" s="7"/>
      <c r="H58" s="7"/>
    </row>
    <row r="59" spans="1:9" ht="14">
      <c r="A59" s="4" t="s">
        <v>11</v>
      </c>
      <c r="B59" s="5">
        <f t="shared" ref="B59:D59" si="5">MIN(B33:B57)</f>
        <v>35</v>
      </c>
      <c r="C59" s="5">
        <f t="shared" si="5"/>
        <v>9</v>
      </c>
      <c r="D59" s="11">
        <f t="shared" si="5"/>
        <v>2</v>
      </c>
      <c r="E59" s="7"/>
      <c r="F59" s="7"/>
      <c r="G59" s="7"/>
      <c r="H59" s="7"/>
    </row>
    <row r="60" spans="1:9" ht="14">
      <c r="A60" s="4" t="s">
        <v>12</v>
      </c>
      <c r="B60" s="5">
        <f t="shared" ref="B60:D60" si="6">MAX(B34:B58)</f>
        <v>43.5</v>
      </c>
      <c r="C60" s="5">
        <f t="shared" si="6"/>
        <v>13</v>
      </c>
      <c r="D60" s="11">
        <f t="shared" si="6"/>
        <v>4</v>
      </c>
      <c r="E60" s="7"/>
      <c r="F60" s="7"/>
      <c r="G60" s="7"/>
      <c r="H60" s="7"/>
    </row>
    <row r="61" spans="1:9" ht="14">
      <c r="A61" s="2"/>
      <c r="B61" s="7"/>
      <c r="C61" s="7"/>
      <c r="D61" s="10"/>
      <c r="E61" s="7"/>
      <c r="F61" s="7"/>
      <c r="G61" s="7"/>
      <c r="H61" s="7"/>
    </row>
    <row r="62" spans="1:9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9" ht="14">
      <c r="A63" s="2"/>
      <c r="B63" s="7"/>
      <c r="C63" s="14">
        <v>75</v>
      </c>
      <c r="D63" s="18">
        <v>25</v>
      </c>
      <c r="E63" s="7"/>
      <c r="F63" s="7"/>
      <c r="G63" s="7"/>
      <c r="H63" s="7"/>
    </row>
    <row r="64" spans="1:9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5.5</v>
      </c>
      <c r="C65" s="14">
        <v>29.5</v>
      </c>
      <c r="D65" s="14">
        <v>29.5</v>
      </c>
      <c r="E65" s="7"/>
      <c r="F65" s="7"/>
      <c r="G65" s="7"/>
      <c r="H65" s="7"/>
    </row>
    <row r="66" spans="1:8" ht="14">
      <c r="A66" s="2"/>
      <c r="B66" s="14">
        <v>5.5</v>
      </c>
      <c r="C66" s="14">
        <v>40</v>
      </c>
      <c r="D66" s="18">
        <v>34.5</v>
      </c>
      <c r="E66" s="7"/>
      <c r="F66" s="7"/>
      <c r="G66" s="7"/>
      <c r="H66" s="7"/>
    </row>
    <row r="67" spans="1:8" ht="14">
      <c r="A67" s="2"/>
      <c r="B67" s="14">
        <v>4</v>
      </c>
      <c r="C67" s="14">
        <v>49.5</v>
      </c>
      <c r="D67" s="18">
        <v>47.5</v>
      </c>
      <c r="E67" s="7"/>
      <c r="F67" s="7"/>
      <c r="G67" s="7"/>
      <c r="H67" s="7"/>
    </row>
    <row r="68" spans="1:8" ht="14">
      <c r="A68" s="2"/>
      <c r="B68" s="14">
        <v>5</v>
      </c>
      <c r="C68" s="14">
        <v>31.5</v>
      </c>
      <c r="D68" s="18">
        <v>25.5</v>
      </c>
      <c r="E68" s="7"/>
      <c r="F68" s="7"/>
      <c r="G68" s="7"/>
      <c r="H68" s="7"/>
    </row>
    <row r="69" spans="1:8" ht="14">
      <c r="A69" s="2"/>
      <c r="B69" s="14">
        <v>5.5</v>
      </c>
      <c r="C69" s="14">
        <v>37.5</v>
      </c>
      <c r="D69" s="18">
        <v>34.5</v>
      </c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I1006"/>
  <sheetViews>
    <sheetView workbookViewId="0"/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9.5</v>
      </c>
      <c r="C2" s="17">
        <v>8.5</v>
      </c>
      <c r="D2" s="6">
        <f t="shared" ref="D2:D26" si="0">B2/C2</f>
        <v>1.1176470588235294</v>
      </c>
      <c r="E2" s="7"/>
      <c r="F2" s="7"/>
      <c r="G2" s="14" t="s">
        <v>29</v>
      </c>
      <c r="H2" s="7"/>
    </row>
    <row r="3" spans="1:8" ht="15.75" customHeight="1">
      <c r="A3" s="4">
        <v>2</v>
      </c>
      <c r="B3" s="17">
        <v>8.5</v>
      </c>
      <c r="C3" s="17">
        <v>8</v>
      </c>
      <c r="D3" s="6">
        <f t="shared" si="0"/>
        <v>1.0625</v>
      </c>
      <c r="E3" s="7"/>
      <c r="F3" s="7"/>
      <c r="G3" s="7"/>
      <c r="H3" s="7"/>
    </row>
    <row r="4" spans="1:8" ht="15.75" customHeight="1">
      <c r="A4" s="4">
        <v>3</v>
      </c>
      <c r="B4" s="17">
        <v>8.5</v>
      </c>
      <c r="C4" s="17">
        <v>7.5</v>
      </c>
      <c r="D4" s="6">
        <f t="shared" si="0"/>
        <v>1.1333333333333333</v>
      </c>
      <c r="E4" s="7"/>
      <c r="F4" s="7"/>
      <c r="G4" s="7"/>
      <c r="H4" s="7"/>
    </row>
    <row r="5" spans="1:8" ht="15.75" customHeight="1">
      <c r="A5" s="4">
        <v>4</v>
      </c>
      <c r="B5" s="17">
        <v>9.5</v>
      </c>
      <c r="C5" s="17">
        <v>8</v>
      </c>
      <c r="D5" s="6">
        <f t="shared" si="0"/>
        <v>1.1875</v>
      </c>
      <c r="E5" s="7"/>
      <c r="F5" s="7"/>
      <c r="G5" s="7"/>
      <c r="H5" s="7"/>
    </row>
    <row r="6" spans="1:8" ht="15.75" customHeight="1">
      <c r="A6" s="4">
        <v>5</v>
      </c>
      <c r="B6" s="17">
        <v>9</v>
      </c>
      <c r="C6" s="17">
        <v>8.5</v>
      </c>
      <c r="D6" s="6">
        <f t="shared" si="0"/>
        <v>1.0588235294117647</v>
      </c>
      <c r="E6" s="7"/>
      <c r="F6" s="7"/>
      <c r="G6" s="7"/>
      <c r="H6" s="7"/>
    </row>
    <row r="7" spans="1:8" ht="15.75" customHeight="1">
      <c r="A7" s="4">
        <v>6</v>
      </c>
      <c r="B7" s="17">
        <v>8.5</v>
      </c>
      <c r="C7" s="17">
        <v>8</v>
      </c>
      <c r="D7" s="6">
        <f t="shared" si="0"/>
        <v>1.0625</v>
      </c>
      <c r="E7" s="7"/>
      <c r="F7" s="7"/>
      <c r="G7" s="7"/>
      <c r="H7" s="7"/>
    </row>
    <row r="8" spans="1:8" ht="15.75" customHeight="1">
      <c r="A8" s="4">
        <v>7</v>
      </c>
      <c r="B8" s="17">
        <v>8</v>
      </c>
      <c r="C8" s="17">
        <v>7.5</v>
      </c>
      <c r="D8" s="6">
        <f t="shared" si="0"/>
        <v>1.0666666666666667</v>
      </c>
      <c r="E8" s="7"/>
      <c r="F8" s="7"/>
      <c r="G8" s="7"/>
      <c r="H8" s="7"/>
    </row>
    <row r="9" spans="1:8" ht="15.75" customHeight="1">
      <c r="A9" s="4">
        <v>8</v>
      </c>
      <c r="B9" s="17">
        <v>8.5</v>
      </c>
      <c r="C9" s="17">
        <v>8.5</v>
      </c>
      <c r="D9" s="6">
        <f t="shared" si="0"/>
        <v>1</v>
      </c>
      <c r="E9" s="7"/>
      <c r="F9" s="7"/>
      <c r="G9" s="7"/>
      <c r="H9" s="7"/>
    </row>
    <row r="10" spans="1:8" ht="15.75" customHeight="1">
      <c r="A10" s="4">
        <v>9</v>
      </c>
      <c r="B10" s="17">
        <v>8.5</v>
      </c>
      <c r="C10" s="17">
        <v>7.5</v>
      </c>
      <c r="D10" s="6">
        <f t="shared" si="0"/>
        <v>1.1333333333333333</v>
      </c>
      <c r="E10" s="7"/>
      <c r="F10" s="7"/>
      <c r="G10" s="7"/>
      <c r="H10" s="7"/>
    </row>
    <row r="11" spans="1:8" ht="15.75" customHeight="1">
      <c r="A11" s="4">
        <v>10</v>
      </c>
      <c r="B11" s="17">
        <v>7.5</v>
      </c>
      <c r="C11" s="17">
        <v>7.5</v>
      </c>
      <c r="D11" s="6">
        <f t="shared" si="0"/>
        <v>1</v>
      </c>
      <c r="E11" s="7"/>
      <c r="F11" s="7"/>
      <c r="G11" s="7"/>
      <c r="H11" s="7"/>
    </row>
    <row r="12" spans="1:8" ht="15.75" customHeight="1">
      <c r="A12" s="8">
        <v>11</v>
      </c>
      <c r="B12" s="17">
        <v>8.5</v>
      </c>
      <c r="C12" s="17">
        <v>8.5</v>
      </c>
      <c r="D12" s="6">
        <f t="shared" si="0"/>
        <v>1</v>
      </c>
      <c r="E12" s="7"/>
      <c r="F12" s="7"/>
      <c r="G12" s="7"/>
      <c r="H12" s="7"/>
    </row>
    <row r="13" spans="1:8" ht="15.75" customHeight="1">
      <c r="A13" s="8">
        <v>12</v>
      </c>
      <c r="B13" s="17">
        <v>9.5</v>
      </c>
      <c r="C13" s="17">
        <v>9</v>
      </c>
      <c r="D13" s="6">
        <f t="shared" si="0"/>
        <v>1.0555555555555556</v>
      </c>
      <c r="E13" s="7"/>
      <c r="F13" s="7"/>
      <c r="G13" s="7"/>
      <c r="H13" s="7"/>
    </row>
    <row r="14" spans="1:8" ht="15.75" customHeight="1">
      <c r="A14" s="8">
        <v>13</v>
      </c>
      <c r="B14" s="17">
        <v>8.5</v>
      </c>
      <c r="C14" s="17">
        <v>8.5</v>
      </c>
      <c r="D14" s="6">
        <f t="shared" si="0"/>
        <v>1</v>
      </c>
      <c r="E14" s="7"/>
      <c r="F14" s="7"/>
      <c r="G14" s="7"/>
      <c r="H14" s="7"/>
    </row>
    <row r="15" spans="1:8" ht="15.75" customHeight="1">
      <c r="A15" s="8">
        <v>14</v>
      </c>
      <c r="B15" s="17">
        <v>10</v>
      </c>
      <c r="C15" s="17">
        <v>9.5</v>
      </c>
      <c r="D15" s="6">
        <f t="shared" si="0"/>
        <v>1.0526315789473684</v>
      </c>
      <c r="E15" s="7"/>
      <c r="F15" s="7"/>
      <c r="G15" s="7"/>
      <c r="H15" s="7"/>
    </row>
    <row r="16" spans="1:8" ht="15.75" customHeight="1">
      <c r="A16" s="8">
        <v>15</v>
      </c>
      <c r="B16" s="17">
        <v>9</v>
      </c>
      <c r="C16" s="17">
        <v>9</v>
      </c>
      <c r="D16" s="6">
        <f t="shared" si="0"/>
        <v>1</v>
      </c>
      <c r="E16" s="7"/>
      <c r="F16" s="7"/>
      <c r="G16" s="7"/>
      <c r="H16" s="7"/>
    </row>
    <row r="17" spans="1:9" ht="15.75" customHeight="1">
      <c r="A17" s="8">
        <v>16</v>
      </c>
      <c r="B17" s="17">
        <v>8.5</v>
      </c>
      <c r="C17" s="17">
        <v>8.5</v>
      </c>
      <c r="D17" s="6">
        <f t="shared" si="0"/>
        <v>1</v>
      </c>
      <c r="E17" s="7"/>
      <c r="F17" s="7"/>
      <c r="G17" s="7"/>
      <c r="H17" s="7"/>
    </row>
    <row r="18" spans="1:9" ht="15.75" customHeight="1">
      <c r="A18" s="8">
        <v>17</v>
      </c>
      <c r="B18" s="17">
        <v>8.5</v>
      </c>
      <c r="C18" s="17">
        <v>9</v>
      </c>
      <c r="D18" s="6">
        <f t="shared" si="0"/>
        <v>0.94444444444444442</v>
      </c>
      <c r="E18" s="7"/>
      <c r="F18" s="7"/>
      <c r="G18" s="7"/>
      <c r="H18" s="7"/>
    </row>
    <row r="19" spans="1:9" ht="15.75" customHeight="1">
      <c r="A19" s="8">
        <v>18</v>
      </c>
      <c r="B19" s="17">
        <v>10.5</v>
      </c>
      <c r="C19" s="17">
        <v>10</v>
      </c>
      <c r="D19" s="6">
        <f t="shared" si="0"/>
        <v>1.05</v>
      </c>
      <c r="E19" s="7"/>
      <c r="F19" s="7"/>
      <c r="G19" s="7"/>
      <c r="H19" s="7"/>
      <c r="I19" s="1" t="s">
        <v>211</v>
      </c>
    </row>
    <row r="20" spans="1:9" ht="15.75" customHeight="1">
      <c r="A20" s="8">
        <v>19</v>
      </c>
      <c r="B20" s="17">
        <v>8.5</v>
      </c>
      <c r="C20" s="17">
        <v>8</v>
      </c>
      <c r="D20" s="6">
        <f t="shared" si="0"/>
        <v>1.0625</v>
      </c>
      <c r="E20" s="7"/>
      <c r="F20" s="7"/>
      <c r="G20" s="7"/>
      <c r="H20" s="7"/>
    </row>
    <row r="21" spans="1:9" ht="15.75" customHeight="1">
      <c r="A21" s="8">
        <v>20</v>
      </c>
      <c r="B21" s="17">
        <v>9</v>
      </c>
      <c r="C21" s="17">
        <v>8.5</v>
      </c>
      <c r="D21" s="6">
        <f t="shared" si="0"/>
        <v>1.0588235294117647</v>
      </c>
      <c r="E21" s="7"/>
      <c r="F21" s="7"/>
      <c r="G21" s="7"/>
      <c r="H21" s="7"/>
    </row>
    <row r="22" spans="1:9" ht="15.75" customHeight="1">
      <c r="A22" s="8">
        <v>21</v>
      </c>
      <c r="B22" s="17">
        <v>9</v>
      </c>
      <c r="C22" s="17">
        <v>9.5</v>
      </c>
      <c r="D22" s="6">
        <f t="shared" si="0"/>
        <v>0.94736842105263153</v>
      </c>
      <c r="E22" s="7"/>
      <c r="F22" s="7"/>
      <c r="G22" s="7"/>
      <c r="H22" s="7"/>
    </row>
    <row r="23" spans="1:9" ht="15.75" customHeight="1">
      <c r="A23" s="8">
        <v>22</v>
      </c>
      <c r="B23" s="17">
        <v>9.5</v>
      </c>
      <c r="C23" s="17">
        <v>9</v>
      </c>
      <c r="D23" s="6">
        <f t="shared" si="0"/>
        <v>1.0555555555555556</v>
      </c>
      <c r="E23" s="7"/>
      <c r="F23" s="7"/>
      <c r="G23" s="7"/>
      <c r="H23" s="7"/>
    </row>
    <row r="24" spans="1:9" ht="15.75" customHeight="1">
      <c r="A24" s="8">
        <v>23</v>
      </c>
      <c r="B24" s="17">
        <v>8</v>
      </c>
      <c r="C24" s="17">
        <v>7.5</v>
      </c>
      <c r="D24" s="6">
        <f t="shared" si="0"/>
        <v>1.0666666666666667</v>
      </c>
      <c r="E24" s="7"/>
      <c r="F24" s="7"/>
      <c r="G24" s="7"/>
      <c r="H24" s="7"/>
    </row>
    <row r="25" spans="1:9" ht="15.75" customHeight="1">
      <c r="A25" s="8">
        <v>24</v>
      </c>
      <c r="B25" s="17">
        <v>8.5</v>
      </c>
      <c r="C25" s="17">
        <v>8</v>
      </c>
      <c r="D25" s="6">
        <f t="shared" si="0"/>
        <v>1.0625</v>
      </c>
      <c r="E25" s="7"/>
      <c r="F25" s="7"/>
      <c r="G25" s="7"/>
      <c r="H25" s="7"/>
    </row>
    <row r="26" spans="1:9" ht="15.75" customHeight="1">
      <c r="A26" s="8">
        <v>25</v>
      </c>
      <c r="B26" s="17">
        <v>9</v>
      </c>
      <c r="C26" s="17">
        <v>8.5</v>
      </c>
      <c r="D26" s="6">
        <f t="shared" si="0"/>
        <v>1.0588235294117647</v>
      </c>
      <c r="E26" s="7"/>
      <c r="F26" s="7"/>
      <c r="G26" s="7"/>
      <c r="H26" s="7"/>
    </row>
    <row r="27" spans="1:9" ht="15.75" customHeight="1">
      <c r="A27" s="4" t="s">
        <v>10</v>
      </c>
      <c r="B27" s="5">
        <f t="shared" ref="B27:D27" si="1">AVERAGE(B2:B26)</f>
        <v>8.82</v>
      </c>
      <c r="C27" s="5">
        <f t="shared" si="1"/>
        <v>8.42</v>
      </c>
      <c r="D27" s="9">
        <f t="shared" si="1"/>
        <v>1.0494869281045751</v>
      </c>
      <c r="E27" s="7"/>
      <c r="F27" s="7"/>
      <c r="G27" s="7"/>
      <c r="H27" s="7"/>
    </row>
    <row r="28" spans="1:9" ht="15.75" customHeight="1">
      <c r="A28" s="4" t="s">
        <v>11</v>
      </c>
      <c r="B28" s="5">
        <f t="shared" ref="B28:D28" si="2">MIN(B3:B26)</f>
        <v>7.5</v>
      </c>
      <c r="C28" s="5">
        <f t="shared" si="2"/>
        <v>7.5</v>
      </c>
      <c r="D28" s="9">
        <f t="shared" si="2"/>
        <v>0.94444444444444442</v>
      </c>
      <c r="E28" s="7"/>
      <c r="F28" s="7"/>
      <c r="G28" s="7"/>
      <c r="H28" s="7"/>
    </row>
    <row r="29" spans="1:9" ht="15.75" customHeight="1">
      <c r="A29" s="4" t="s">
        <v>12</v>
      </c>
      <c r="B29" s="5">
        <f t="shared" ref="B29:D29" si="3">MAX(B4:B26)</f>
        <v>10.5</v>
      </c>
      <c r="C29" s="5">
        <f t="shared" si="3"/>
        <v>10</v>
      </c>
      <c r="D29" s="9">
        <f t="shared" si="3"/>
        <v>1.1875</v>
      </c>
      <c r="E29" s="7"/>
      <c r="F29" s="7"/>
      <c r="G29" s="7"/>
      <c r="H29" s="7"/>
    </row>
    <row r="30" spans="1:9" ht="15.75" customHeight="1">
      <c r="A30" s="2"/>
      <c r="B30" s="7"/>
      <c r="C30" s="7"/>
      <c r="D30" s="10"/>
      <c r="E30" s="7"/>
      <c r="F30" s="7"/>
      <c r="G30" s="7"/>
      <c r="H30" s="7"/>
    </row>
    <row r="31" spans="1:9" ht="15.75" customHeight="1">
      <c r="A31" s="2"/>
      <c r="B31" s="7"/>
      <c r="C31" s="7"/>
      <c r="D31" s="10"/>
      <c r="E31" s="7"/>
      <c r="F31" s="7"/>
      <c r="G31" s="7"/>
      <c r="H31" s="7"/>
    </row>
    <row r="32" spans="1:9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42</v>
      </c>
      <c r="C33" s="17">
        <v>11</v>
      </c>
      <c r="D33" s="13">
        <v>2</v>
      </c>
      <c r="E33" s="17">
        <v>8.5</v>
      </c>
      <c r="F33" s="14" t="s">
        <v>212</v>
      </c>
      <c r="G33" s="7"/>
      <c r="H33" s="14" t="s">
        <v>213</v>
      </c>
    </row>
    <row r="34" spans="1:8" ht="15.75" customHeight="1">
      <c r="A34" s="4">
        <v>2</v>
      </c>
      <c r="B34" s="17">
        <v>40</v>
      </c>
      <c r="C34" s="17">
        <v>11</v>
      </c>
      <c r="D34" s="13">
        <v>2</v>
      </c>
      <c r="E34" s="17">
        <v>9.5</v>
      </c>
      <c r="F34" s="7"/>
      <c r="G34" s="7"/>
      <c r="H34" s="7"/>
    </row>
    <row r="35" spans="1:8" ht="15.75" customHeight="1">
      <c r="A35" s="4">
        <v>3</v>
      </c>
      <c r="B35" s="17">
        <v>36.5</v>
      </c>
      <c r="C35" s="17">
        <v>9.5</v>
      </c>
      <c r="D35" s="13">
        <v>2</v>
      </c>
      <c r="E35" s="14">
        <v>7</v>
      </c>
      <c r="F35" s="7"/>
      <c r="G35" s="7"/>
      <c r="H35" s="7"/>
    </row>
    <row r="36" spans="1:8" ht="15.75" customHeight="1">
      <c r="A36" s="4">
        <v>4</v>
      </c>
      <c r="B36" s="17">
        <v>41</v>
      </c>
      <c r="C36" s="17">
        <v>11.5</v>
      </c>
      <c r="D36" s="13">
        <v>2</v>
      </c>
      <c r="E36" s="17">
        <v>9</v>
      </c>
      <c r="F36" s="7"/>
      <c r="G36" s="7"/>
      <c r="H36" s="7"/>
    </row>
    <row r="37" spans="1:8" ht="15.75" customHeight="1">
      <c r="A37" s="4">
        <v>5</v>
      </c>
      <c r="B37" s="17">
        <v>40</v>
      </c>
      <c r="C37" s="17">
        <v>11</v>
      </c>
      <c r="D37" s="13">
        <v>2</v>
      </c>
      <c r="E37" s="17">
        <v>7.5</v>
      </c>
      <c r="F37" s="7"/>
      <c r="G37" s="7"/>
      <c r="H37" s="7"/>
    </row>
    <row r="38" spans="1:8" ht="15.75" customHeight="1">
      <c r="A38" s="4">
        <v>6</v>
      </c>
      <c r="B38" s="17">
        <v>40</v>
      </c>
      <c r="C38" s="17">
        <v>11.5</v>
      </c>
      <c r="D38" s="13">
        <v>1</v>
      </c>
      <c r="E38" s="17">
        <v>14.5</v>
      </c>
      <c r="F38" s="7"/>
      <c r="G38" s="14" t="s">
        <v>214</v>
      </c>
      <c r="H38" s="14" t="s">
        <v>215</v>
      </c>
    </row>
    <row r="39" spans="1:8" ht="15.75" customHeight="1">
      <c r="A39" s="4">
        <v>7</v>
      </c>
      <c r="B39" s="17">
        <v>39</v>
      </c>
      <c r="C39" s="17">
        <v>11</v>
      </c>
      <c r="D39" s="13">
        <v>2</v>
      </c>
      <c r="E39" s="17">
        <v>8</v>
      </c>
      <c r="F39" s="7"/>
      <c r="G39" s="7"/>
      <c r="H39" s="7"/>
    </row>
    <row r="40" spans="1:8" ht="15.75" customHeight="1">
      <c r="A40" s="4">
        <v>8</v>
      </c>
      <c r="B40" s="17">
        <v>37.5</v>
      </c>
      <c r="C40" s="17">
        <v>12</v>
      </c>
      <c r="D40" s="13">
        <v>2</v>
      </c>
      <c r="E40" s="17">
        <v>12.5</v>
      </c>
      <c r="F40" s="7"/>
      <c r="G40" s="7"/>
      <c r="H40" s="7"/>
    </row>
    <row r="41" spans="1:8" ht="15.75" customHeight="1">
      <c r="A41" s="4">
        <v>9</v>
      </c>
      <c r="B41" s="17">
        <v>37</v>
      </c>
      <c r="C41" s="17">
        <v>12</v>
      </c>
      <c r="D41" s="13">
        <v>2</v>
      </c>
      <c r="E41" s="17">
        <v>6</v>
      </c>
      <c r="F41" s="7"/>
      <c r="G41" s="7"/>
      <c r="H41" s="7"/>
    </row>
    <row r="42" spans="1:8" ht="15.75" customHeight="1">
      <c r="A42" s="4">
        <v>10</v>
      </c>
      <c r="B42" s="17">
        <v>44</v>
      </c>
      <c r="C42" s="17">
        <v>12</v>
      </c>
      <c r="D42" s="13">
        <v>1</v>
      </c>
      <c r="E42" s="17">
        <v>11.5</v>
      </c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>
        <v>2</v>
      </c>
      <c r="F48" s="7"/>
      <c r="G48" s="7"/>
      <c r="H48" s="14" t="s">
        <v>216</v>
      </c>
    </row>
    <row r="49" spans="1:9" ht="15.75" customHeight="1">
      <c r="A49" s="8">
        <v>17</v>
      </c>
      <c r="D49" s="12">
        <v>1</v>
      </c>
      <c r="F49" s="7"/>
      <c r="G49" s="7"/>
      <c r="H49" s="14" t="s">
        <v>217</v>
      </c>
      <c r="I49" s="1" t="s">
        <v>218</v>
      </c>
    </row>
    <row r="50" spans="1:9" ht="15.75" customHeight="1">
      <c r="A50" s="8">
        <v>18</v>
      </c>
      <c r="D50" s="12">
        <v>1</v>
      </c>
      <c r="F50" s="7"/>
      <c r="G50" s="7"/>
      <c r="H50" s="14" t="s">
        <v>219</v>
      </c>
      <c r="I50" s="1" t="s">
        <v>220</v>
      </c>
    </row>
    <row r="51" spans="1:9" ht="15.75" customHeight="1">
      <c r="A51" s="8">
        <v>19</v>
      </c>
      <c r="D51" s="12">
        <v>1</v>
      </c>
      <c r="F51" s="7"/>
      <c r="G51" s="7"/>
      <c r="H51" s="14" t="s">
        <v>221</v>
      </c>
      <c r="I51" s="1" t="s">
        <v>222</v>
      </c>
    </row>
    <row r="52" spans="1:9" ht="15.75" customHeight="1">
      <c r="A52" s="8">
        <v>20</v>
      </c>
      <c r="B52" s="5"/>
      <c r="C52" s="5"/>
      <c r="D52" s="13">
        <v>2</v>
      </c>
      <c r="E52" s="7"/>
      <c r="F52" s="7"/>
      <c r="G52" s="7"/>
      <c r="H52" s="7"/>
    </row>
    <row r="53" spans="1:9" ht="15.75" customHeight="1">
      <c r="A53" s="8">
        <v>21</v>
      </c>
      <c r="B53" s="5"/>
      <c r="C53" s="5"/>
      <c r="D53" s="13">
        <v>2</v>
      </c>
      <c r="E53" s="5"/>
      <c r="F53" s="7"/>
      <c r="G53" s="7"/>
      <c r="H53" s="7"/>
    </row>
    <row r="54" spans="1:9" ht="14">
      <c r="A54" s="8">
        <v>22</v>
      </c>
      <c r="B54" s="5"/>
      <c r="C54" s="5"/>
      <c r="D54" s="13">
        <v>2</v>
      </c>
      <c r="E54" s="5"/>
      <c r="F54" s="7"/>
      <c r="G54" s="7"/>
      <c r="H54" s="14" t="s">
        <v>223</v>
      </c>
      <c r="I54" s="1" t="s">
        <v>224</v>
      </c>
    </row>
    <row r="55" spans="1:9" ht="14">
      <c r="A55" s="8">
        <v>23</v>
      </c>
      <c r="B55" s="5"/>
      <c r="C55" s="5"/>
      <c r="D55" s="11"/>
      <c r="E55" s="5"/>
      <c r="F55" s="7"/>
      <c r="G55" s="7"/>
      <c r="H55" s="7"/>
    </row>
    <row r="56" spans="1:9" ht="14">
      <c r="A56" s="8">
        <v>24</v>
      </c>
      <c r="B56" s="5"/>
      <c r="C56" s="5"/>
      <c r="D56" s="11"/>
      <c r="E56" s="5"/>
      <c r="F56" s="7"/>
      <c r="G56" s="7"/>
      <c r="H56" s="7"/>
    </row>
    <row r="57" spans="1:9" ht="14">
      <c r="A57" s="8">
        <v>25</v>
      </c>
      <c r="B57" s="5"/>
      <c r="C57" s="5"/>
      <c r="D57" s="11"/>
      <c r="E57" s="5"/>
      <c r="F57" s="7"/>
      <c r="G57" s="7"/>
      <c r="H57" s="7"/>
    </row>
    <row r="58" spans="1:9" ht="14">
      <c r="A58" s="4" t="s">
        <v>10</v>
      </c>
      <c r="B58" s="5">
        <f t="shared" ref="B58:C58" si="4">AVERAGE(B33:B57)</f>
        <v>39.700000000000003</v>
      </c>
      <c r="C58" s="5">
        <f t="shared" si="4"/>
        <v>11.25</v>
      </c>
      <c r="D58" s="13" t="s">
        <v>18</v>
      </c>
      <c r="E58" s="7"/>
      <c r="F58" s="7"/>
      <c r="G58" s="7"/>
      <c r="H58" s="7"/>
    </row>
    <row r="59" spans="1:9" ht="14">
      <c r="A59" s="4" t="s">
        <v>11</v>
      </c>
      <c r="B59" s="5">
        <f t="shared" ref="B59:D59" si="5">MIN(B33:B57)</f>
        <v>36.5</v>
      </c>
      <c r="C59" s="5">
        <f t="shared" si="5"/>
        <v>9.5</v>
      </c>
      <c r="D59" s="11">
        <f t="shared" si="5"/>
        <v>1</v>
      </c>
      <c r="E59" s="7"/>
      <c r="F59" s="7"/>
      <c r="G59" s="7"/>
      <c r="H59" s="7"/>
    </row>
    <row r="60" spans="1:9" ht="14">
      <c r="A60" s="4" t="s">
        <v>12</v>
      </c>
      <c r="B60" s="5">
        <f t="shared" ref="B60:D60" si="6">MAX(B34:B58)</f>
        <v>44</v>
      </c>
      <c r="C60" s="5">
        <f t="shared" si="6"/>
        <v>12</v>
      </c>
      <c r="D60" s="11">
        <f t="shared" si="6"/>
        <v>2</v>
      </c>
      <c r="E60" s="7"/>
      <c r="F60" s="7"/>
      <c r="G60" s="7"/>
      <c r="H60" s="7"/>
    </row>
    <row r="61" spans="1:9" ht="14">
      <c r="A61" s="2"/>
      <c r="B61" s="7"/>
      <c r="C61" s="7"/>
      <c r="D61" s="10"/>
      <c r="E61" s="7"/>
      <c r="F61" s="7"/>
      <c r="G61" s="7"/>
      <c r="H61" s="7"/>
    </row>
    <row r="62" spans="1:9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9" ht="14">
      <c r="A63" s="2"/>
      <c r="B63" s="7"/>
      <c r="C63" s="19">
        <v>1</v>
      </c>
      <c r="D63" s="10"/>
      <c r="E63" s="7"/>
      <c r="F63" s="7"/>
      <c r="G63" s="7"/>
      <c r="H63" s="7"/>
    </row>
    <row r="64" spans="1:9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8</v>
      </c>
      <c r="C65" s="7"/>
      <c r="D65" s="10"/>
      <c r="E65" s="7"/>
      <c r="F65" s="7"/>
      <c r="G65" s="7"/>
      <c r="H65" s="7"/>
    </row>
    <row r="66" spans="1:8" ht="14">
      <c r="A66" s="2"/>
      <c r="B66" s="14">
        <v>11</v>
      </c>
      <c r="C66" s="7"/>
      <c r="D66" s="10"/>
      <c r="E66" s="7"/>
      <c r="F66" s="7"/>
      <c r="G66" s="7"/>
      <c r="H66" s="7"/>
    </row>
    <row r="67" spans="1:8" ht="14">
      <c r="A67" s="2"/>
      <c r="B67" s="14">
        <v>3</v>
      </c>
      <c r="C67" s="7"/>
      <c r="D67" s="10"/>
      <c r="E67" s="7"/>
      <c r="F67" s="7"/>
      <c r="G67" s="7"/>
      <c r="H67" s="7"/>
    </row>
    <row r="68" spans="1:8" ht="14">
      <c r="A68" s="2"/>
      <c r="B68" s="14">
        <v>6</v>
      </c>
      <c r="C68" s="7"/>
      <c r="D68" s="10"/>
      <c r="E68" s="7"/>
      <c r="F68" s="7"/>
      <c r="G68" s="7"/>
      <c r="H68" s="7"/>
    </row>
    <row r="69" spans="1:8" ht="14">
      <c r="A69" s="2"/>
      <c r="B69" s="14">
        <v>5.5</v>
      </c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 t="s">
        <v>184</v>
      </c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225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H1006"/>
  <sheetViews>
    <sheetView workbookViewId="0"/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13</v>
      </c>
      <c r="C2" s="17">
        <v>12.5</v>
      </c>
      <c r="D2" s="6">
        <f t="shared" ref="D2:D26" si="0">B2/C2</f>
        <v>1.04</v>
      </c>
      <c r="E2" s="7"/>
      <c r="F2" s="7"/>
      <c r="G2" s="14" t="s">
        <v>35</v>
      </c>
      <c r="H2" s="7"/>
    </row>
    <row r="3" spans="1:8" ht="15.75" customHeight="1">
      <c r="A3" s="4">
        <v>2</v>
      </c>
      <c r="B3" s="17">
        <v>12.5</v>
      </c>
      <c r="C3" s="17">
        <v>13</v>
      </c>
      <c r="D3" s="6">
        <f t="shared" si="0"/>
        <v>0.96153846153846156</v>
      </c>
      <c r="E3" s="7"/>
      <c r="F3" s="7"/>
      <c r="G3" s="7"/>
      <c r="H3" s="7"/>
    </row>
    <row r="4" spans="1:8" ht="15.75" customHeight="1">
      <c r="A4" s="4">
        <v>3</v>
      </c>
      <c r="B4" s="17">
        <v>12.5</v>
      </c>
      <c r="C4" s="17">
        <v>12</v>
      </c>
      <c r="D4" s="6">
        <f t="shared" si="0"/>
        <v>1.0416666666666667</v>
      </c>
      <c r="E4" s="7"/>
      <c r="F4" s="7"/>
      <c r="G4" s="7"/>
      <c r="H4" s="7"/>
    </row>
    <row r="5" spans="1:8" ht="15.75" customHeight="1">
      <c r="A5" s="4">
        <v>4</v>
      </c>
      <c r="B5" s="17">
        <v>11.5</v>
      </c>
      <c r="C5" s="17">
        <v>11.5</v>
      </c>
      <c r="D5" s="6">
        <f t="shared" si="0"/>
        <v>1</v>
      </c>
      <c r="E5" s="7"/>
      <c r="F5" s="7"/>
      <c r="G5" s="7"/>
      <c r="H5" s="7"/>
    </row>
    <row r="6" spans="1:8" ht="15.75" customHeight="1">
      <c r="A6" s="4">
        <v>5</v>
      </c>
      <c r="B6" s="17">
        <v>12.5</v>
      </c>
      <c r="C6" s="17">
        <v>11.5</v>
      </c>
      <c r="D6" s="6">
        <f t="shared" si="0"/>
        <v>1.0869565217391304</v>
      </c>
      <c r="E6" s="7"/>
      <c r="F6" s="7"/>
      <c r="G6" s="7"/>
      <c r="H6" s="7"/>
    </row>
    <row r="7" spans="1:8" ht="15.75" customHeight="1">
      <c r="A7" s="4">
        <v>6</v>
      </c>
      <c r="B7" s="17">
        <v>12.5</v>
      </c>
      <c r="C7" s="17">
        <v>12.5</v>
      </c>
      <c r="D7" s="6">
        <f t="shared" si="0"/>
        <v>1</v>
      </c>
      <c r="E7" s="7"/>
      <c r="F7" s="7"/>
      <c r="G7" s="7"/>
      <c r="H7" s="7"/>
    </row>
    <row r="8" spans="1:8" ht="15.75" customHeight="1">
      <c r="A8" s="4">
        <v>7</v>
      </c>
      <c r="B8" s="17">
        <v>12.5</v>
      </c>
      <c r="C8" s="17">
        <v>12</v>
      </c>
      <c r="D8" s="6">
        <f t="shared" si="0"/>
        <v>1.0416666666666667</v>
      </c>
      <c r="E8" s="7"/>
      <c r="F8" s="7"/>
      <c r="G8" s="7"/>
      <c r="H8" s="7"/>
    </row>
    <row r="9" spans="1:8" ht="15.75" customHeight="1">
      <c r="A9" s="4">
        <v>8</v>
      </c>
      <c r="B9" s="17">
        <v>12</v>
      </c>
      <c r="C9" s="17">
        <v>12</v>
      </c>
      <c r="D9" s="6">
        <f t="shared" si="0"/>
        <v>1</v>
      </c>
      <c r="E9" s="7"/>
      <c r="F9" s="7"/>
      <c r="G9" s="7"/>
      <c r="H9" s="7"/>
    </row>
    <row r="10" spans="1:8" ht="15.75" customHeight="1">
      <c r="A10" s="4">
        <v>9</v>
      </c>
      <c r="B10" s="17">
        <v>13</v>
      </c>
      <c r="C10" s="17">
        <v>13</v>
      </c>
      <c r="D10" s="6">
        <f t="shared" si="0"/>
        <v>1</v>
      </c>
      <c r="E10" s="7"/>
      <c r="F10" s="7"/>
      <c r="G10" s="7"/>
      <c r="H10" s="7"/>
    </row>
    <row r="11" spans="1:8" ht="15.75" customHeight="1">
      <c r="A11" s="4">
        <v>10</v>
      </c>
      <c r="B11" s="17">
        <v>12</v>
      </c>
      <c r="C11" s="17">
        <v>12</v>
      </c>
      <c r="D11" s="6">
        <f t="shared" si="0"/>
        <v>1</v>
      </c>
      <c r="E11" s="7"/>
      <c r="F11" s="7"/>
      <c r="G11" s="7"/>
      <c r="H11" s="7"/>
    </row>
    <row r="12" spans="1:8" ht="15.75" customHeight="1">
      <c r="A12" s="8">
        <v>11</v>
      </c>
      <c r="B12" s="17">
        <v>12</v>
      </c>
      <c r="C12" s="17">
        <v>13</v>
      </c>
      <c r="D12" s="6">
        <f t="shared" si="0"/>
        <v>0.92307692307692313</v>
      </c>
      <c r="E12" s="7"/>
      <c r="F12" s="7"/>
      <c r="G12" s="7"/>
      <c r="H12" s="7"/>
    </row>
    <row r="13" spans="1:8" ht="15.75" customHeight="1">
      <c r="A13" s="8">
        <v>12</v>
      </c>
      <c r="B13" s="17">
        <v>11.5</v>
      </c>
      <c r="C13" s="17">
        <v>11</v>
      </c>
      <c r="D13" s="6">
        <f t="shared" si="0"/>
        <v>1.0454545454545454</v>
      </c>
      <c r="E13" s="7"/>
      <c r="F13" s="7"/>
      <c r="G13" s="7"/>
      <c r="H13" s="7"/>
    </row>
    <row r="14" spans="1:8" ht="15.75" customHeight="1">
      <c r="A14" s="8">
        <v>13</v>
      </c>
      <c r="B14" s="17">
        <v>10.5</v>
      </c>
      <c r="C14" s="17">
        <v>11</v>
      </c>
      <c r="D14" s="6">
        <f t="shared" si="0"/>
        <v>0.95454545454545459</v>
      </c>
      <c r="E14" s="7"/>
      <c r="F14" s="7"/>
      <c r="G14" s="7"/>
      <c r="H14" s="7"/>
    </row>
    <row r="15" spans="1:8" ht="15.75" customHeight="1">
      <c r="A15" s="8">
        <v>14</v>
      </c>
      <c r="B15" s="17">
        <v>12</v>
      </c>
      <c r="C15" s="17">
        <v>12.5</v>
      </c>
      <c r="D15" s="6">
        <f t="shared" si="0"/>
        <v>0.96</v>
      </c>
      <c r="E15" s="7"/>
      <c r="F15" s="7"/>
      <c r="G15" s="7"/>
      <c r="H15" s="7"/>
    </row>
    <row r="16" spans="1:8" ht="15.75" customHeight="1">
      <c r="A16" s="8">
        <v>15</v>
      </c>
      <c r="B16" s="17">
        <v>12.5</v>
      </c>
      <c r="C16" s="17">
        <v>12</v>
      </c>
      <c r="D16" s="6">
        <f t="shared" si="0"/>
        <v>1.0416666666666667</v>
      </c>
      <c r="E16" s="7"/>
      <c r="F16" s="7"/>
      <c r="G16" s="7"/>
      <c r="H16" s="7"/>
    </row>
    <row r="17" spans="1:8" ht="15.75" customHeight="1">
      <c r="A17" s="8">
        <v>16</v>
      </c>
      <c r="B17" s="17">
        <v>12.5</v>
      </c>
      <c r="C17" s="17">
        <v>12</v>
      </c>
      <c r="D17" s="6">
        <f t="shared" si="0"/>
        <v>1.0416666666666667</v>
      </c>
      <c r="E17" s="7"/>
      <c r="F17" s="7"/>
      <c r="G17" s="7"/>
      <c r="H17" s="7"/>
    </row>
    <row r="18" spans="1:8" ht="15.75" customHeight="1">
      <c r="A18" s="8">
        <v>17</v>
      </c>
      <c r="B18" s="17">
        <v>11</v>
      </c>
      <c r="C18" s="17">
        <v>11</v>
      </c>
      <c r="D18" s="6">
        <f t="shared" si="0"/>
        <v>1</v>
      </c>
      <c r="E18" s="7"/>
      <c r="F18" s="7"/>
      <c r="G18" s="7"/>
      <c r="H18" s="7"/>
    </row>
    <row r="19" spans="1:8" ht="15.75" customHeight="1">
      <c r="A19" s="8">
        <v>18</v>
      </c>
      <c r="B19" s="17">
        <v>11.5</v>
      </c>
      <c r="C19" s="17">
        <v>12</v>
      </c>
      <c r="D19" s="6">
        <f t="shared" si="0"/>
        <v>0.95833333333333337</v>
      </c>
      <c r="E19" s="7"/>
      <c r="F19" s="7"/>
      <c r="G19" s="7"/>
      <c r="H19" s="7"/>
    </row>
    <row r="20" spans="1:8" ht="15.75" customHeight="1">
      <c r="A20" s="8">
        <v>19</v>
      </c>
      <c r="B20" s="17">
        <v>12</v>
      </c>
      <c r="C20" s="17">
        <v>11.5</v>
      </c>
      <c r="D20" s="6">
        <f t="shared" si="0"/>
        <v>1.0434782608695652</v>
      </c>
      <c r="E20" s="7"/>
      <c r="F20" s="7"/>
      <c r="G20" s="7"/>
      <c r="H20" s="7"/>
    </row>
    <row r="21" spans="1:8" ht="15.75" customHeight="1">
      <c r="A21" s="8">
        <v>20</v>
      </c>
      <c r="B21" s="17">
        <v>12.5</v>
      </c>
      <c r="C21" s="17">
        <v>12</v>
      </c>
      <c r="D21" s="6">
        <f t="shared" si="0"/>
        <v>1.0416666666666667</v>
      </c>
      <c r="E21" s="25" t="s">
        <v>226</v>
      </c>
      <c r="F21" s="7"/>
      <c r="G21" s="7"/>
      <c r="H21" s="7"/>
    </row>
    <row r="22" spans="1:8" ht="15.75" customHeight="1">
      <c r="A22" s="8">
        <v>21</v>
      </c>
      <c r="B22" s="17">
        <v>14</v>
      </c>
      <c r="C22" s="17">
        <v>14.5</v>
      </c>
      <c r="D22" s="6">
        <f t="shared" si="0"/>
        <v>0.96551724137931039</v>
      </c>
      <c r="E22" s="24"/>
      <c r="F22" s="7"/>
      <c r="G22" s="7"/>
      <c r="H22" s="7"/>
    </row>
    <row r="23" spans="1:8" ht="15.75" customHeight="1">
      <c r="A23" s="8">
        <v>22</v>
      </c>
      <c r="B23" s="17">
        <v>12</v>
      </c>
      <c r="C23" s="17">
        <v>10.5</v>
      </c>
      <c r="D23" s="6">
        <f t="shared" si="0"/>
        <v>1.1428571428571428</v>
      </c>
      <c r="E23" s="24"/>
      <c r="F23" s="7"/>
      <c r="G23" s="7"/>
      <c r="H23" s="7"/>
    </row>
    <row r="24" spans="1:8" ht="15.75" customHeight="1">
      <c r="A24" s="8">
        <v>23</v>
      </c>
      <c r="B24" s="17">
        <v>12.5</v>
      </c>
      <c r="C24" s="17">
        <v>11.5</v>
      </c>
      <c r="D24" s="6">
        <f t="shared" si="0"/>
        <v>1.0869565217391304</v>
      </c>
      <c r="E24" s="24"/>
      <c r="F24" s="25" t="s">
        <v>227</v>
      </c>
      <c r="G24" s="7"/>
      <c r="H24" s="7"/>
    </row>
    <row r="25" spans="1:8" ht="15.75" customHeight="1">
      <c r="A25" s="8">
        <v>24</v>
      </c>
      <c r="B25" s="17">
        <v>13.5</v>
      </c>
      <c r="C25" s="17">
        <v>12.5</v>
      </c>
      <c r="D25" s="6">
        <f t="shared" si="0"/>
        <v>1.08</v>
      </c>
      <c r="E25" s="24"/>
      <c r="F25" s="24"/>
      <c r="G25" s="7"/>
      <c r="H25" s="7"/>
    </row>
    <row r="26" spans="1:8" ht="15.75" customHeight="1">
      <c r="A26" s="8">
        <v>25</v>
      </c>
      <c r="B26" s="17">
        <v>13</v>
      </c>
      <c r="C26" s="17">
        <v>12.5</v>
      </c>
      <c r="D26" s="6">
        <f t="shared" si="0"/>
        <v>1.04</v>
      </c>
      <c r="E26" s="24"/>
      <c r="F26" s="24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12.28</v>
      </c>
      <c r="C27" s="5">
        <f t="shared" si="1"/>
        <v>12.06</v>
      </c>
      <c r="D27" s="9">
        <f t="shared" si="1"/>
        <v>1.0198819095946532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10.5</v>
      </c>
      <c r="C28" s="5">
        <f t="shared" si="2"/>
        <v>10.5</v>
      </c>
      <c r="D28" s="9">
        <f t="shared" si="2"/>
        <v>0.92307692307692313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14</v>
      </c>
      <c r="C29" s="5">
        <f t="shared" si="3"/>
        <v>14.5</v>
      </c>
      <c r="D29" s="9">
        <f t="shared" si="3"/>
        <v>1.1428571428571428</v>
      </c>
      <c r="E29" s="7"/>
      <c r="F29" s="7"/>
      <c r="G29" s="14" t="s">
        <v>228</v>
      </c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70</v>
      </c>
      <c r="C33" s="17">
        <v>20</v>
      </c>
      <c r="D33" s="13">
        <v>4</v>
      </c>
      <c r="E33" s="17">
        <v>10</v>
      </c>
      <c r="F33" s="7"/>
      <c r="G33" s="7"/>
      <c r="H33" s="14" t="s">
        <v>229</v>
      </c>
    </row>
    <row r="34" spans="1:8" ht="15.75" customHeight="1">
      <c r="A34" s="4">
        <v>2</v>
      </c>
      <c r="B34" s="17">
        <v>59</v>
      </c>
      <c r="C34" s="17">
        <v>17.5</v>
      </c>
      <c r="D34" s="13">
        <v>4</v>
      </c>
      <c r="E34" s="17">
        <v>7</v>
      </c>
      <c r="F34" s="7"/>
      <c r="G34" s="7"/>
      <c r="H34" s="7"/>
    </row>
    <row r="35" spans="1:8" ht="15.75" customHeight="1">
      <c r="A35" s="4">
        <v>3</v>
      </c>
      <c r="B35" s="17">
        <v>61.5</v>
      </c>
      <c r="C35" s="17">
        <v>17.5</v>
      </c>
      <c r="D35" s="13">
        <v>4</v>
      </c>
      <c r="E35" s="14">
        <v>6</v>
      </c>
      <c r="F35" s="7"/>
      <c r="G35" s="7"/>
      <c r="H35" s="14" t="s">
        <v>230</v>
      </c>
    </row>
    <row r="36" spans="1:8" ht="15.75" customHeight="1">
      <c r="A36" s="4">
        <v>4</v>
      </c>
      <c r="B36" s="17">
        <v>70.5</v>
      </c>
      <c r="C36" s="17">
        <v>16</v>
      </c>
      <c r="D36" s="13">
        <v>4</v>
      </c>
      <c r="E36" s="17" t="s">
        <v>231</v>
      </c>
      <c r="F36" s="7"/>
      <c r="G36" s="7"/>
      <c r="H36" s="7"/>
    </row>
    <row r="37" spans="1:8" ht="15.75" customHeight="1">
      <c r="A37" s="4">
        <v>5</v>
      </c>
      <c r="B37" s="17">
        <v>68.5</v>
      </c>
      <c r="C37" s="17">
        <v>17.5</v>
      </c>
      <c r="D37" s="13">
        <v>4</v>
      </c>
      <c r="E37" s="17">
        <v>10.5</v>
      </c>
      <c r="F37" s="7"/>
      <c r="G37" s="7"/>
      <c r="H37" s="7"/>
    </row>
    <row r="38" spans="1:8" ht="15.75" customHeight="1">
      <c r="A38" s="4">
        <v>6</v>
      </c>
      <c r="B38" s="17">
        <v>68</v>
      </c>
      <c r="C38" s="17">
        <v>16.5</v>
      </c>
      <c r="D38" s="13">
        <v>4</v>
      </c>
      <c r="E38" s="17">
        <v>5</v>
      </c>
      <c r="F38" s="7"/>
      <c r="G38" s="7"/>
      <c r="H38" s="7"/>
    </row>
    <row r="39" spans="1:8" ht="15.75" customHeight="1">
      <c r="A39" s="4">
        <v>7</v>
      </c>
      <c r="B39" s="17">
        <v>73</v>
      </c>
      <c r="C39" s="17">
        <v>17.5</v>
      </c>
      <c r="D39" s="13">
        <v>4</v>
      </c>
      <c r="E39" s="17">
        <v>5.5</v>
      </c>
      <c r="F39" s="7"/>
      <c r="G39" s="7"/>
      <c r="H39" s="14" t="s">
        <v>232</v>
      </c>
    </row>
    <row r="40" spans="1:8" ht="15.75" customHeight="1">
      <c r="A40" s="4">
        <v>8</v>
      </c>
      <c r="B40" s="17">
        <v>72</v>
      </c>
      <c r="C40" s="17">
        <v>17</v>
      </c>
      <c r="D40" s="13">
        <v>4</v>
      </c>
      <c r="E40" s="17">
        <v>9</v>
      </c>
      <c r="F40" s="7"/>
      <c r="G40" s="7"/>
      <c r="H40" s="7"/>
    </row>
    <row r="41" spans="1:8" ht="15.75" customHeight="1">
      <c r="A41" s="4">
        <v>9</v>
      </c>
      <c r="B41" s="17">
        <v>59</v>
      </c>
      <c r="C41" s="17">
        <v>17.5</v>
      </c>
      <c r="D41" s="13">
        <v>2</v>
      </c>
      <c r="E41" s="17">
        <v>6</v>
      </c>
      <c r="F41" s="7"/>
      <c r="G41" s="7"/>
      <c r="H41" s="7"/>
    </row>
    <row r="42" spans="1:8" ht="15.75" customHeight="1">
      <c r="A42" s="4">
        <v>10</v>
      </c>
      <c r="B42" s="17">
        <v>67</v>
      </c>
      <c r="C42" s="17">
        <v>17</v>
      </c>
      <c r="D42" s="13">
        <v>4</v>
      </c>
      <c r="E42" s="17" t="s">
        <v>231</v>
      </c>
      <c r="F42" s="7"/>
      <c r="G42" s="7"/>
      <c r="H42" s="7"/>
    </row>
    <row r="43" spans="1:8" ht="15.75" customHeight="1">
      <c r="A43" s="8">
        <v>11</v>
      </c>
      <c r="B43" s="5"/>
      <c r="C43" s="5"/>
      <c r="D43" s="13">
        <v>4</v>
      </c>
      <c r="E43" s="5"/>
      <c r="F43" s="7"/>
      <c r="G43" s="7"/>
      <c r="H43" s="7"/>
    </row>
    <row r="44" spans="1:8" ht="15.75" customHeight="1">
      <c r="A44" s="8">
        <v>12</v>
      </c>
      <c r="D44" s="12">
        <v>4</v>
      </c>
      <c r="F44" s="7"/>
      <c r="G44" s="7"/>
      <c r="H44" s="7"/>
    </row>
    <row r="45" spans="1:8" ht="15.75" customHeight="1">
      <c r="A45" s="8">
        <v>13</v>
      </c>
      <c r="D45" s="12">
        <v>4</v>
      </c>
      <c r="F45" s="7"/>
      <c r="G45" s="7"/>
      <c r="H45" s="7"/>
    </row>
    <row r="46" spans="1:8" ht="15.75" customHeight="1">
      <c r="A46" s="8">
        <v>14</v>
      </c>
      <c r="D46" s="12">
        <v>4</v>
      </c>
      <c r="F46" s="7"/>
      <c r="G46" s="7"/>
      <c r="H46" s="7"/>
    </row>
    <row r="47" spans="1:8" ht="15.75" customHeight="1">
      <c r="A47" s="8">
        <v>15</v>
      </c>
      <c r="D47" s="12">
        <v>4</v>
      </c>
      <c r="F47" s="7"/>
      <c r="G47" s="7"/>
      <c r="H47" s="7"/>
    </row>
    <row r="48" spans="1:8" ht="15.75" customHeight="1">
      <c r="A48" s="8">
        <v>16</v>
      </c>
      <c r="D48" s="12">
        <v>2</v>
      </c>
      <c r="E48" s="1">
        <v>8</v>
      </c>
      <c r="F48" s="7"/>
      <c r="G48" s="7"/>
      <c r="H48" s="14" t="s">
        <v>233</v>
      </c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2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2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2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66.849999999999994</v>
      </c>
      <c r="C58" s="5">
        <f t="shared" si="4"/>
        <v>17.399999999999999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59</v>
      </c>
      <c r="C59" s="5">
        <f t="shared" si="5"/>
        <v>16</v>
      </c>
      <c r="D59" s="11">
        <f t="shared" si="5"/>
        <v>2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73</v>
      </c>
      <c r="C60" s="5">
        <f t="shared" si="6"/>
        <v>17.5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  <c r="F62" s="1" t="s">
        <v>234</v>
      </c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4.5</v>
      </c>
      <c r="C65" s="14">
        <v>41</v>
      </c>
      <c r="D65" s="18">
        <v>33.5</v>
      </c>
      <c r="E65" s="7"/>
      <c r="F65" s="7"/>
      <c r="G65" s="7"/>
      <c r="H65" s="7"/>
    </row>
    <row r="66" spans="1:8" ht="14">
      <c r="A66" s="2"/>
      <c r="B66" s="14">
        <v>7</v>
      </c>
      <c r="C66" s="14">
        <v>27</v>
      </c>
      <c r="D66" s="18">
        <v>27</v>
      </c>
      <c r="E66" s="7"/>
      <c r="F66" s="7"/>
      <c r="G66" s="7"/>
      <c r="H66" s="7"/>
    </row>
    <row r="67" spans="1:8" ht="14">
      <c r="A67" s="2"/>
      <c r="B67" s="14">
        <v>6</v>
      </c>
      <c r="C67" s="14">
        <v>22.5</v>
      </c>
      <c r="D67" s="18">
        <v>18</v>
      </c>
      <c r="E67" s="7"/>
      <c r="F67" s="7"/>
      <c r="G67" s="7"/>
      <c r="H67" s="7"/>
    </row>
    <row r="68" spans="1:8" ht="14">
      <c r="A68" s="2"/>
      <c r="B68" s="14">
        <v>4</v>
      </c>
      <c r="C68" s="14">
        <v>39.5</v>
      </c>
      <c r="D68" s="18">
        <v>32</v>
      </c>
      <c r="E68" s="7"/>
      <c r="F68" s="7"/>
      <c r="G68" s="7"/>
      <c r="H68" s="7"/>
    </row>
    <row r="69" spans="1:8" ht="14">
      <c r="A69" s="2"/>
      <c r="B69" s="14">
        <v>4.5</v>
      </c>
      <c r="C69" s="14">
        <v>33</v>
      </c>
      <c r="D69" s="18">
        <v>29</v>
      </c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 t="s">
        <v>202</v>
      </c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143</v>
      </c>
      <c r="D72" s="16"/>
    </row>
    <row r="73" spans="1:8" ht="14">
      <c r="A73" s="15" t="s">
        <v>235</v>
      </c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3">
    <mergeCell ref="E21:E26"/>
    <mergeCell ref="F24:F26"/>
    <mergeCell ref="D62:E6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I74"/>
  <sheetViews>
    <sheetView workbookViewId="0"/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10.5</v>
      </c>
      <c r="C2" s="17">
        <v>8</v>
      </c>
      <c r="D2" s="6">
        <f t="shared" ref="D2:D26" si="0">B2/C2</f>
        <v>1.3125</v>
      </c>
      <c r="E2" s="7"/>
      <c r="F2" s="7"/>
      <c r="G2" s="7"/>
      <c r="H2" s="7"/>
      <c r="I2" s="1" t="s">
        <v>236</v>
      </c>
    </row>
    <row r="3" spans="1:9" ht="15.75" customHeight="1">
      <c r="A3" s="4">
        <v>2</v>
      </c>
      <c r="B3" s="17">
        <v>12</v>
      </c>
      <c r="C3" s="17">
        <v>9</v>
      </c>
      <c r="D3" s="6">
        <f t="shared" si="0"/>
        <v>1.3333333333333333</v>
      </c>
      <c r="E3" s="7"/>
      <c r="F3" s="7"/>
      <c r="G3" s="7"/>
      <c r="H3" s="7"/>
    </row>
    <row r="4" spans="1:9" ht="15.75" customHeight="1">
      <c r="A4" s="4">
        <v>3</v>
      </c>
      <c r="B4" s="17">
        <v>10.5</v>
      </c>
      <c r="C4" s="17">
        <v>8</v>
      </c>
      <c r="D4" s="6">
        <f t="shared" si="0"/>
        <v>1.3125</v>
      </c>
      <c r="E4" s="7"/>
      <c r="F4" s="7"/>
      <c r="G4" s="7"/>
      <c r="H4" s="7"/>
    </row>
    <row r="5" spans="1:9" ht="15.75" customHeight="1">
      <c r="A5" s="4">
        <v>4</v>
      </c>
      <c r="B5" s="17">
        <v>11</v>
      </c>
      <c r="C5" s="17">
        <v>8.5</v>
      </c>
      <c r="D5" s="6">
        <f t="shared" si="0"/>
        <v>1.2941176470588236</v>
      </c>
      <c r="E5" s="7"/>
      <c r="F5" s="7"/>
      <c r="G5" s="7"/>
      <c r="H5" s="7"/>
    </row>
    <row r="6" spans="1:9" ht="15.75" customHeight="1">
      <c r="A6" s="4">
        <v>5</v>
      </c>
      <c r="B6" s="17">
        <v>10.5</v>
      </c>
      <c r="C6" s="17">
        <v>7.5</v>
      </c>
      <c r="D6" s="6">
        <f t="shared" si="0"/>
        <v>1.4</v>
      </c>
      <c r="E6" s="7"/>
      <c r="F6" s="7"/>
      <c r="G6" s="7"/>
      <c r="H6" s="7"/>
    </row>
    <row r="7" spans="1:9" ht="15.75" customHeight="1">
      <c r="A7" s="4">
        <v>6</v>
      </c>
      <c r="B7" s="17">
        <v>10</v>
      </c>
      <c r="C7" s="17">
        <v>8</v>
      </c>
      <c r="D7" s="6">
        <f t="shared" si="0"/>
        <v>1.25</v>
      </c>
      <c r="E7" s="7"/>
      <c r="F7" s="7"/>
      <c r="G7" s="7"/>
      <c r="H7" s="7"/>
    </row>
    <row r="8" spans="1:9" ht="15.75" customHeight="1">
      <c r="A8" s="4">
        <v>7</v>
      </c>
      <c r="B8" s="17">
        <v>11</v>
      </c>
      <c r="C8" s="17">
        <v>8</v>
      </c>
      <c r="D8" s="6">
        <f t="shared" si="0"/>
        <v>1.375</v>
      </c>
      <c r="E8" s="7"/>
      <c r="F8" s="7"/>
      <c r="G8" s="7"/>
      <c r="H8" s="7"/>
    </row>
    <row r="9" spans="1:9" ht="15.75" customHeight="1">
      <c r="A9" s="8">
        <v>8</v>
      </c>
      <c r="B9" s="17">
        <v>10</v>
      </c>
      <c r="C9" s="17">
        <v>7.5</v>
      </c>
      <c r="D9" s="6">
        <f t="shared" si="0"/>
        <v>1.3333333333333333</v>
      </c>
      <c r="E9" s="7"/>
      <c r="F9" s="7"/>
      <c r="G9" s="7"/>
      <c r="H9" s="7"/>
    </row>
    <row r="10" spans="1:9" ht="15.75" customHeight="1">
      <c r="A10" s="4">
        <v>9</v>
      </c>
      <c r="B10" s="17">
        <v>11.5</v>
      </c>
      <c r="C10" s="17">
        <v>8</v>
      </c>
      <c r="D10" s="6">
        <f t="shared" si="0"/>
        <v>1.4375</v>
      </c>
      <c r="E10" s="7"/>
      <c r="F10" s="7"/>
      <c r="G10" s="7"/>
      <c r="H10" s="7"/>
    </row>
    <row r="11" spans="1:9" ht="15.75" customHeight="1">
      <c r="A11" s="4">
        <v>10</v>
      </c>
      <c r="B11" s="17">
        <v>11.5</v>
      </c>
      <c r="C11" s="17">
        <v>8.5</v>
      </c>
      <c r="D11" s="6">
        <f t="shared" si="0"/>
        <v>1.3529411764705883</v>
      </c>
      <c r="E11" s="7"/>
      <c r="F11" s="7"/>
      <c r="G11" s="7"/>
      <c r="H11" s="7"/>
    </row>
    <row r="12" spans="1:9" ht="15.75" customHeight="1">
      <c r="A12" s="8">
        <v>11</v>
      </c>
      <c r="B12" s="17">
        <v>11.5</v>
      </c>
      <c r="C12" s="17">
        <v>8.5</v>
      </c>
      <c r="D12" s="6">
        <f t="shared" si="0"/>
        <v>1.3529411764705883</v>
      </c>
      <c r="E12" s="7"/>
      <c r="F12" s="7"/>
      <c r="G12" s="7"/>
      <c r="H12" s="7"/>
    </row>
    <row r="13" spans="1:9" ht="15.75" customHeight="1">
      <c r="A13" s="8">
        <v>12</v>
      </c>
      <c r="B13" s="17">
        <v>11.5</v>
      </c>
      <c r="C13" s="17">
        <v>8.5</v>
      </c>
      <c r="D13" s="6">
        <f t="shared" si="0"/>
        <v>1.3529411764705883</v>
      </c>
      <c r="E13" s="7"/>
      <c r="F13" s="7"/>
      <c r="G13" s="7"/>
      <c r="H13" s="7"/>
    </row>
    <row r="14" spans="1:9" ht="15.75" customHeight="1">
      <c r="A14" s="8">
        <v>13</v>
      </c>
      <c r="B14" s="17">
        <v>12</v>
      </c>
      <c r="C14" s="17">
        <v>8.5</v>
      </c>
      <c r="D14" s="6">
        <f t="shared" si="0"/>
        <v>1.411764705882353</v>
      </c>
      <c r="E14" s="7"/>
      <c r="F14" s="7"/>
      <c r="G14" s="7"/>
      <c r="H14" s="7"/>
    </row>
    <row r="15" spans="1:9" ht="15.75" customHeight="1">
      <c r="A15" s="8">
        <v>14</v>
      </c>
      <c r="B15" s="17">
        <v>10.5</v>
      </c>
      <c r="C15" s="17">
        <v>8</v>
      </c>
      <c r="D15" s="6">
        <f t="shared" si="0"/>
        <v>1.3125</v>
      </c>
      <c r="E15" s="7"/>
      <c r="F15" s="7"/>
      <c r="G15" s="7"/>
      <c r="H15" s="7"/>
    </row>
    <row r="16" spans="1:9" ht="15.75" customHeight="1">
      <c r="A16" s="8">
        <v>15</v>
      </c>
      <c r="B16" s="17">
        <v>10.5</v>
      </c>
      <c r="C16" s="17">
        <v>8.5</v>
      </c>
      <c r="D16" s="6">
        <f t="shared" si="0"/>
        <v>1.2352941176470589</v>
      </c>
      <c r="E16" s="7"/>
      <c r="F16" s="7"/>
      <c r="G16" s="7"/>
      <c r="H16" s="7"/>
    </row>
    <row r="17" spans="1:8" ht="15.75" customHeight="1">
      <c r="A17" s="8">
        <v>16</v>
      </c>
      <c r="B17" s="17">
        <v>11</v>
      </c>
      <c r="C17" s="17">
        <v>8</v>
      </c>
      <c r="D17" s="6">
        <f t="shared" si="0"/>
        <v>1.375</v>
      </c>
      <c r="E17" s="7"/>
      <c r="F17" s="7"/>
      <c r="G17" s="7"/>
      <c r="H17" s="7"/>
    </row>
    <row r="18" spans="1:8" ht="15.75" customHeight="1">
      <c r="A18" s="8">
        <v>17</v>
      </c>
      <c r="B18" s="17">
        <v>11.5</v>
      </c>
      <c r="C18" s="17">
        <v>8</v>
      </c>
      <c r="D18" s="6">
        <f t="shared" si="0"/>
        <v>1.4375</v>
      </c>
      <c r="E18" s="7"/>
      <c r="F18" s="7"/>
      <c r="G18" s="7"/>
      <c r="H18" s="7"/>
    </row>
    <row r="19" spans="1:8" ht="15.75" customHeight="1">
      <c r="A19" s="8">
        <v>18</v>
      </c>
      <c r="B19" s="17">
        <v>10.5</v>
      </c>
      <c r="C19" s="17">
        <v>8</v>
      </c>
      <c r="D19" s="6">
        <f t="shared" si="0"/>
        <v>1.3125</v>
      </c>
      <c r="E19" s="7"/>
      <c r="F19" s="7"/>
      <c r="G19" s="7"/>
      <c r="H19" s="7"/>
    </row>
    <row r="20" spans="1:8" ht="15.75" customHeight="1">
      <c r="A20" s="8">
        <v>19</v>
      </c>
      <c r="B20" s="17">
        <v>11</v>
      </c>
      <c r="C20" s="17">
        <v>8</v>
      </c>
      <c r="D20" s="6">
        <f t="shared" si="0"/>
        <v>1.375</v>
      </c>
      <c r="E20" s="7"/>
      <c r="F20" s="7"/>
      <c r="G20" s="7"/>
      <c r="H20" s="7"/>
    </row>
    <row r="21" spans="1:8" ht="15.75" customHeight="1">
      <c r="A21" s="8">
        <v>20</v>
      </c>
      <c r="B21" s="17">
        <v>10.5</v>
      </c>
      <c r="C21" s="17">
        <v>8.5</v>
      </c>
      <c r="D21" s="6">
        <f t="shared" si="0"/>
        <v>1.2352941176470589</v>
      </c>
      <c r="E21" s="7"/>
      <c r="F21" s="7"/>
      <c r="G21" s="7"/>
      <c r="H21" s="7"/>
    </row>
    <row r="22" spans="1:8" ht="15.75" customHeight="1">
      <c r="A22" s="8">
        <v>21</v>
      </c>
      <c r="B22" s="17">
        <v>12</v>
      </c>
      <c r="C22" s="17">
        <v>8</v>
      </c>
      <c r="D22" s="6">
        <f t="shared" si="0"/>
        <v>1.5</v>
      </c>
      <c r="E22" s="7"/>
      <c r="F22" s="7"/>
      <c r="G22" s="7"/>
      <c r="H22" s="7"/>
    </row>
    <row r="23" spans="1:8" ht="15.75" customHeight="1">
      <c r="A23" s="8">
        <v>22</v>
      </c>
      <c r="B23" s="17">
        <v>11.5</v>
      </c>
      <c r="C23" s="17">
        <v>7.5</v>
      </c>
      <c r="D23" s="6">
        <f t="shared" si="0"/>
        <v>1.5333333333333334</v>
      </c>
      <c r="E23" s="7"/>
      <c r="F23" s="7"/>
      <c r="G23" s="7"/>
      <c r="H23" s="7"/>
    </row>
    <row r="24" spans="1:8" ht="15.75" customHeight="1">
      <c r="A24" s="8">
        <v>23</v>
      </c>
      <c r="B24" s="17">
        <v>10.5</v>
      </c>
      <c r="C24" s="17">
        <v>7.5</v>
      </c>
      <c r="D24" s="6">
        <f t="shared" si="0"/>
        <v>1.4</v>
      </c>
      <c r="E24" s="7"/>
      <c r="F24" s="7"/>
      <c r="G24" s="7"/>
      <c r="H24" s="7"/>
    </row>
    <row r="25" spans="1:8" ht="15.75" customHeight="1">
      <c r="A25" s="8">
        <v>24</v>
      </c>
      <c r="B25" s="17">
        <v>11</v>
      </c>
      <c r="C25" s="17">
        <v>7.5</v>
      </c>
      <c r="D25" s="6">
        <f t="shared" si="0"/>
        <v>1.4666666666666666</v>
      </c>
      <c r="E25" s="7"/>
      <c r="F25" s="7"/>
      <c r="G25" s="7"/>
      <c r="H25" s="7"/>
    </row>
    <row r="26" spans="1:8" ht="15.75" customHeight="1">
      <c r="A26" s="8">
        <v>25</v>
      </c>
      <c r="B26" s="17">
        <v>11</v>
      </c>
      <c r="C26" s="17">
        <v>8</v>
      </c>
      <c r="D26" s="6">
        <f t="shared" si="0"/>
        <v>1.375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11</v>
      </c>
      <c r="C27" s="5">
        <f t="shared" si="1"/>
        <v>8.08</v>
      </c>
      <c r="D27" s="9">
        <f t="shared" si="1"/>
        <v>1.363078431372549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10</v>
      </c>
      <c r="C28" s="5">
        <f t="shared" si="2"/>
        <v>7.5</v>
      </c>
      <c r="D28" s="9">
        <f t="shared" si="2"/>
        <v>1.2352941176470589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12</v>
      </c>
      <c r="C29" s="5">
        <f t="shared" si="3"/>
        <v>8.5</v>
      </c>
      <c r="D29" s="9">
        <f t="shared" si="3"/>
        <v>1.5333333333333334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 t="s">
        <v>237</v>
      </c>
      <c r="C33" s="17">
        <v>9.5</v>
      </c>
      <c r="D33" s="13">
        <v>3</v>
      </c>
      <c r="E33" s="17">
        <v>4.5</v>
      </c>
      <c r="F33" s="7"/>
      <c r="G33" s="7"/>
      <c r="H33" s="14" t="s">
        <v>238</v>
      </c>
    </row>
    <row r="34" spans="1:8" ht="15.75" customHeight="1">
      <c r="A34" s="4">
        <v>2</v>
      </c>
      <c r="B34" s="17">
        <v>39</v>
      </c>
      <c r="C34" s="17">
        <v>10</v>
      </c>
      <c r="D34" s="13">
        <v>4</v>
      </c>
      <c r="E34" s="17">
        <v>4</v>
      </c>
      <c r="F34" s="7"/>
      <c r="G34" s="7"/>
      <c r="H34" s="7"/>
    </row>
    <row r="35" spans="1:8" ht="15.75" customHeight="1">
      <c r="A35" s="4">
        <v>3</v>
      </c>
      <c r="B35" s="5"/>
      <c r="C35" s="5"/>
      <c r="D35" s="11"/>
      <c r="E35" s="7"/>
      <c r="F35" s="7"/>
      <c r="G35" s="7"/>
      <c r="H35" s="7"/>
    </row>
    <row r="36" spans="1:8" ht="15.75" customHeight="1">
      <c r="A36" s="4">
        <v>4</v>
      </c>
      <c r="B36" s="5"/>
      <c r="C36" s="5"/>
      <c r="D36" s="11"/>
      <c r="E36" s="5"/>
      <c r="F36" s="7"/>
      <c r="G36" s="7"/>
      <c r="H36" s="7"/>
    </row>
    <row r="37" spans="1:8" ht="15.75" customHeight="1">
      <c r="A37" s="4">
        <v>5</v>
      </c>
      <c r="B37" s="5"/>
      <c r="C37" s="5"/>
      <c r="D37" s="11"/>
      <c r="E37" s="5"/>
      <c r="F37" s="7"/>
      <c r="G37" s="7"/>
      <c r="H37" s="7"/>
    </row>
    <row r="38" spans="1:8" ht="15.75" customHeight="1">
      <c r="A38" s="4">
        <v>6</v>
      </c>
      <c r="B38" s="5"/>
      <c r="C38" s="5"/>
      <c r="D38" s="11"/>
      <c r="E38" s="5"/>
      <c r="F38" s="7"/>
      <c r="G38" s="7"/>
      <c r="H38" s="7"/>
    </row>
    <row r="39" spans="1:8" ht="15.75" customHeight="1">
      <c r="A39" s="4">
        <v>7</v>
      </c>
      <c r="B39" s="5"/>
      <c r="C39" s="5"/>
      <c r="D39" s="11"/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39</v>
      </c>
      <c r="C58" s="5">
        <f t="shared" si="4"/>
        <v>9.75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39</v>
      </c>
      <c r="C59" s="5">
        <f t="shared" si="5"/>
        <v>9.5</v>
      </c>
      <c r="D59" s="11">
        <f t="shared" si="5"/>
        <v>3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39</v>
      </c>
      <c r="C60" s="5">
        <f t="shared" si="6"/>
        <v>10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</sheetData>
  <mergeCells count="1">
    <mergeCell ref="D62:E6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I1006"/>
  <sheetViews>
    <sheetView workbookViewId="0"/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10</v>
      </c>
      <c r="C2" s="17">
        <v>8.5</v>
      </c>
      <c r="D2" s="6">
        <f t="shared" ref="D2:D26" si="0">B2/C2</f>
        <v>1.1764705882352942</v>
      </c>
      <c r="E2" s="7"/>
      <c r="F2" s="7"/>
      <c r="G2" s="14" t="s">
        <v>35</v>
      </c>
      <c r="H2" s="14" t="s">
        <v>239</v>
      </c>
      <c r="I2" s="1" t="s">
        <v>240</v>
      </c>
    </row>
    <row r="3" spans="1:9" ht="15.75" customHeight="1">
      <c r="A3" s="4">
        <v>2</v>
      </c>
      <c r="B3" s="17">
        <v>12</v>
      </c>
      <c r="C3" s="17">
        <v>9</v>
      </c>
      <c r="D3" s="6">
        <f t="shared" si="0"/>
        <v>1.3333333333333333</v>
      </c>
      <c r="E3" s="7"/>
      <c r="F3" s="7"/>
      <c r="G3" s="7"/>
      <c r="H3" s="7"/>
    </row>
    <row r="4" spans="1:9" ht="15.75" customHeight="1">
      <c r="A4" s="4">
        <v>3</v>
      </c>
      <c r="B4" s="17">
        <v>10</v>
      </c>
      <c r="C4" s="17">
        <v>8.5</v>
      </c>
      <c r="D4" s="6">
        <f t="shared" si="0"/>
        <v>1.1764705882352942</v>
      </c>
      <c r="E4" s="7"/>
      <c r="F4" s="7"/>
      <c r="G4" s="7"/>
      <c r="H4" s="7"/>
    </row>
    <row r="5" spans="1:9" ht="15.75" customHeight="1">
      <c r="A5" s="4">
        <v>4</v>
      </c>
      <c r="B5" s="17">
        <v>12</v>
      </c>
      <c r="C5" s="17">
        <v>8.5</v>
      </c>
      <c r="D5" s="6">
        <f t="shared" si="0"/>
        <v>1.411764705882353</v>
      </c>
      <c r="E5" s="7"/>
      <c r="F5" s="7"/>
      <c r="G5" s="7"/>
      <c r="H5" s="7"/>
    </row>
    <row r="6" spans="1:9" ht="15.75" customHeight="1">
      <c r="A6" s="4">
        <v>5</v>
      </c>
      <c r="B6" s="17">
        <v>11</v>
      </c>
      <c r="C6" s="17">
        <v>8.5</v>
      </c>
      <c r="D6" s="6">
        <f t="shared" si="0"/>
        <v>1.2941176470588236</v>
      </c>
      <c r="E6" s="7"/>
      <c r="F6" s="7"/>
      <c r="G6" s="7"/>
      <c r="H6" s="7"/>
    </row>
    <row r="7" spans="1:9" ht="15.75" customHeight="1">
      <c r="A7" s="4">
        <v>6</v>
      </c>
      <c r="B7" s="17">
        <v>12</v>
      </c>
      <c r="C7" s="17">
        <v>9</v>
      </c>
      <c r="D7" s="6">
        <f t="shared" si="0"/>
        <v>1.3333333333333333</v>
      </c>
      <c r="E7" s="7"/>
      <c r="F7" s="7"/>
      <c r="G7" s="7"/>
      <c r="H7" s="7"/>
    </row>
    <row r="8" spans="1:9" ht="15.75" customHeight="1">
      <c r="A8" s="4">
        <v>7</v>
      </c>
      <c r="B8" s="17">
        <v>12</v>
      </c>
      <c r="C8" s="17">
        <v>10</v>
      </c>
      <c r="D8" s="6">
        <f t="shared" si="0"/>
        <v>1.2</v>
      </c>
      <c r="E8" s="7"/>
      <c r="F8" s="7"/>
      <c r="G8" s="7"/>
      <c r="H8" s="7"/>
    </row>
    <row r="9" spans="1:9" ht="15.75" customHeight="1">
      <c r="A9" s="4">
        <v>8</v>
      </c>
      <c r="B9" s="17">
        <v>12</v>
      </c>
      <c r="C9" s="17">
        <v>9</v>
      </c>
      <c r="D9" s="6">
        <f t="shared" si="0"/>
        <v>1.3333333333333333</v>
      </c>
      <c r="E9" s="7"/>
      <c r="F9" s="7"/>
      <c r="G9" s="7"/>
      <c r="H9" s="7"/>
    </row>
    <row r="10" spans="1:9" ht="15.75" customHeight="1">
      <c r="A10" s="4">
        <v>9</v>
      </c>
      <c r="B10" s="17">
        <v>11.5</v>
      </c>
      <c r="C10" s="17">
        <v>8</v>
      </c>
      <c r="D10" s="6">
        <f t="shared" si="0"/>
        <v>1.4375</v>
      </c>
      <c r="E10" s="7"/>
      <c r="F10" s="7"/>
      <c r="G10" s="7"/>
      <c r="H10" s="7"/>
      <c r="I10" s="1" t="s">
        <v>241</v>
      </c>
    </row>
    <row r="11" spans="1:9" ht="15.75" customHeight="1">
      <c r="A11" s="4">
        <v>10</v>
      </c>
      <c r="B11" s="17">
        <v>10.5</v>
      </c>
      <c r="C11" s="17">
        <v>8</v>
      </c>
      <c r="D11" s="6">
        <f t="shared" si="0"/>
        <v>1.3125</v>
      </c>
      <c r="E11" s="7"/>
      <c r="F11" s="7"/>
      <c r="G11" s="7"/>
      <c r="H11" s="7"/>
      <c r="I11" s="1" t="s">
        <v>241</v>
      </c>
    </row>
    <row r="12" spans="1:9" ht="15.75" customHeight="1">
      <c r="A12" s="8">
        <v>11</v>
      </c>
      <c r="B12" s="17">
        <v>11</v>
      </c>
      <c r="C12" s="17">
        <v>8.5</v>
      </c>
      <c r="D12" s="6">
        <f t="shared" si="0"/>
        <v>1.2941176470588236</v>
      </c>
      <c r="E12" s="7"/>
      <c r="F12" s="7"/>
      <c r="G12" s="7"/>
      <c r="H12" s="7"/>
      <c r="I12" s="1" t="s">
        <v>241</v>
      </c>
    </row>
    <row r="13" spans="1:9" ht="15.75" customHeight="1">
      <c r="A13" s="8">
        <v>12</v>
      </c>
      <c r="B13" s="17">
        <v>11.5</v>
      </c>
      <c r="C13" s="17">
        <v>8.5</v>
      </c>
      <c r="D13" s="6">
        <f t="shared" si="0"/>
        <v>1.3529411764705883</v>
      </c>
      <c r="E13" s="7"/>
      <c r="F13" s="7"/>
      <c r="G13" s="7"/>
      <c r="H13" s="7"/>
      <c r="I13" s="1" t="s">
        <v>241</v>
      </c>
    </row>
    <row r="14" spans="1:9" ht="15.75" customHeight="1">
      <c r="A14" s="8">
        <v>13</v>
      </c>
      <c r="B14" s="17">
        <v>11</v>
      </c>
      <c r="C14" s="17">
        <v>9</v>
      </c>
      <c r="D14" s="6">
        <f t="shared" si="0"/>
        <v>1.2222222222222223</v>
      </c>
      <c r="E14" s="7"/>
      <c r="F14" s="7"/>
      <c r="G14" s="7"/>
      <c r="H14" s="7"/>
      <c r="I14" s="1" t="s">
        <v>241</v>
      </c>
    </row>
    <row r="15" spans="1:9" ht="15.75" customHeight="1">
      <c r="A15" s="8">
        <v>14</v>
      </c>
      <c r="B15" s="17">
        <v>11</v>
      </c>
      <c r="C15" s="17">
        <v>8.5</v>
      </c>
      <c r="D15" s="6">
        <f t="shared" si="0"/>
        <v>1.2941176470588236</v>
      </c>
      <c r="E15" s="7"/>
      <c r="F15" s="7"/>
      <c r="G15" s="7"/>
      <c r="H15" s="7"/>
      <c r="I15" s="1" t="s">
        <v>241</v>
      </c>
    </row>
    <row r="16" spans="1:9" ht="15.75" customHeight="1">
      <c r="A16" s="8">
        <v>15</v>
      </c>
      <c r="B16" s="17">
        <v>12</v>
      </c>
      <c r="C16" s="17">
        <v>8.5</v>
      </c>
      <c r="D16" s="6">
        <f t="shared" si="0"/>
        <v>1.411764705882353</v>
      </c>
      <c r="E16" s="7"/>
      <c r="F16" s="7"/>
      <c r="G16" s="7"/>
      <c r="H16" s="7"/>
    </row>
    <row r="17" spans="1:8" ht="15.75" customHeight="1">
      <c r="A17" s="8">
        <v>16</v>
      </c>
      <c r="B17" s="17">
        <v>11</v>
      </c>
      <c r="C17" s="17">
        <v>10</v>
      </c>
      <c r="D17" s="6">
        <f t="shared" si="0"/>
        <v>1.1000000000000001</v>
      </c>
      <c r="E17" s="7"/>
      <c r="F17" s="7"/>
      <c r="G17" s="7"/>
      <c r="H17" s="7"/>
    </row>
    <row r="18" spans="1:8" ht="15.75" customHeight="1">
      <c r="A18" s="8">
        <v>17</v>
      </c>
      <c r="B18" s="17">
        <v>12.5</v>
      </c>
      <c r="C18" s="17">
        <v>9</v>
      </c>
      <c r="D18" s="6">
        <f t="shared" si="0"/>
        <v>1.3888888888888888</v>
      </c>
      <c r="E18" s="7"/>
      <c r="F18" s="7"/>
      <c r="G18" s="7"/>
      <c r="H18" s="7"/>
    </row>
    <row r="19" spans="1:8" ht="15.75" customHeight="1">
      <c r="A19" s="8">
        <v>18</v>
      </c>
      <c r="B19" s="17">
        <v>12</v>
      </c>
      <c r="C19" s="17">
        <v>9.5</v>
      </c>
      <c r="D19" s="6">
        <f t="shared" si="0"/>
        <v>1.263157894736842</v>
      </c>
      <c r="E19" s="7"/>
      <c r="F19" s="7"/>
      <c r="G19" s="7"/>
      <c r="H19" s="7"/>
    </row>
    <row r="20" spans="1:8" ht="15.75" customHeight="1">
      <c r="A20" s="8">
        <v>19</v>
      </c>
      <c r="B20" s="17">
        <v>10</v>
      </c>
      <c r="C20" s="17">
        <v>9</v>
      </c>
      <c r="D20" s="6">
        <f t="shared" si="0"/>
        <v>1.1111111111111112</v>
      </c>
      <c r="E20" s="7"/>
      <c r="F20" s="7"/>
      <c r="G20" s="7"/>
      <c r="H20" s="7"/>
    </row>
    <row r="21" spans="1:8" ht="15.75" customHeight="1">
      <c r="A21" s="8">
        <v>20</v>
      </c>
      <c r="B21" s="17">
        <v>11.5</v>
      </c>
      <c r="C21" s="17">
        <v>9.5</v>
      </c>
      <c r="D21" s="6">
        <f t="shared" si="0"/>
        <v>1.2105263157894737</v>
      </c>
      <c r="E21" s="7"/>
      <c r="F21" s="7"/>
      <c r="G21" s="7"/>
      <c r="H21" s="7"/>
    </row>
    <row r="22" spans="1:8" ht="15.75" customHeight="1">
      <c r="A22" s="8">
        <v>21</v>
      </c>
      <c r="B22" s="17">
        <v>10</v>
      </c>
      <c r="C22" s="17">
        <v>8.5</v>
      </c>
      <c r="D22" s="6">
        <f t="shared" si="0"/>
        <v>1.1764705882352942</v>
      </c>
      <c r="E22" s="7"/>
      <c r="F22" s="7"/>
      <c r="G22" s="7"/>
      <c r="H22" s="7"/>
    </row>
    <row r="23" spans="1:8" ht="15.75" customHeight="1">
      <c r="A23" s="8">
        <v>22</v>
      </c>
      <c r="B23" s="17">
        <v>11</v>
      </c>
      <c r="C23" s="17">
        <v>9</v>
      </c>
      <c r="D23" s="6">
        <f t="shared" si="0"/>
        <v>1.2222222222222223</v>
      </c>
      <c r="E23" s="7"/>
      <c r="F23" s="7"/>
      <c r="G23" s="7"/>
      <c r="H23" s="7"/>
    </row>
    <row r="24" spans="1:8" ht="15.75" customHeight="1">
      <c r="A24" s="8">
        <v>23</v>
      </c>
      <c r="B24" s="17">
        <v>12</v>
      </c>
      <c r="C24" s="17">
        <v>9</v>
      </c>
      <c r="D24" s="6">
        <f t="shared" si="0"/>
        <v>1.3333333333333333</v>
      </c>
      <c r="E24" s="7"/>
      <c r="F24" s="7"/>
      <c r="G24" s="7"/>
      <c r="H24" s="7"/>
    </row>
    <row r="25" spans="1:8" ht="15.75" customHeight="1">
      <c r="A25" s="8">
        <v>24</v>
      </c>
      <c r="B25" s="17">
        <v>13</v>
      </c>
      <c r="C25" s="17">
        <v>10</v>
      </c>
      <c r="D25" s="6">
        <f t="shared" si="0"/>
        <v>1.3</v>
      </c>
      <c r="E25" s="7"/>
      <c r="F25" s="7"/>
      <c r="G25" s="7"/>
      <c r="H25" s="7"/>
    </row>
    <row r="26" spans="1:8" ht="15.75" customHeight="1">
      <c r="A26" s="8">
        <v>25</v>
      </c>
      <c r="B26" s="17">
        <v>11</v>
      </c>
      <c r="C26" s="17">
        <v>8.5</v>
      </c>
      <c r="D26" s="6">
        <f t="shared" si="0"/>
        <v>1.2941176470588236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11.34</v>
      </c>
      <c r="C27" s="5">
        <f t="shared" si="1"/>
        <v>8.8800000000000008</v>
      </c>
      <c r="D27" s="9">
        <f t="shared" si="1"/>
        <v>1.2793525971792226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10</v>
      </c>
      <c r="C28" s="5">
        <f t="shared" si="2"/>
        <v>8</v>
      </c>
      <c r="D28" s="9">
        <f t="shared" si="2"/>
        <v>1.1000000000000001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13</v>
      </c>
      <c r="C29" s="5">
        <f t="shared" si="3"/>
        <v>10</v>
      </c>
      <c r="D29" s="9">
        <f t="shared" si="3"/>
        <v>1.4375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42.5</v>
      </c>
      <c r="C33" s="17">
        <v>10.5</v>
      </c>
      <c r="D33" s="13">
        <v>4</v>
      </c>
      <c r="E33" s="17">
        <v>4.5</v>
      </c>
      <c r="F33" s="7"/>
      <c r="G33" s="7"/>
      <c r="H33" s="7"/>
    </row>
    <row r="34" spans="1:8" ht="15.75" customHeight="1">
      <c r="A34" s="4">
        <v>2</v>
      </c>
      <c r="B34" s="17">
        <v>48.5</v>
      </c>
      <c r="C34" s="17">
        <v>12</v>
      </c>
      <c r="D34" s="13">
        <v>4</v>
      </c>
      <c r="E34" s="17">
        <v>6</v>
      </c>
      <c r="F34" s="7"/>
      <c r="G34" s="7"/>
      <c r="H34" s="14" t="s">
        <v>242</v>
      </c>
    </row>
    <row r="35" spans="1:8" ht="15.75" customHeight="1">
      <c r="A35" s="4">
        <v>3</v>
      </c>
      <c r="B35" s="17">
        <v>43.5</v>
      </c>
      <c r="C35" s="17">
        <v>11</v>
      </c>
      <c r="D35" s="13">
        <v>4</v>
      </c>
      <c r="E35" s="14" t="s">
        <v>134</v>
      </c>
      <c r="F35" s="7"/>
      <c r="G35" s="7"/>
      <c r="H35" s="7"/>
    </row>
    <row r="36" spans="1:8" ht="15.75" customHeight="1">
      <c r="A36" s="4">
        <v>4</v>
      </c>
      <c r="B36" s="17">
        <v>45.5</v>
      </c>
      <c r="C36" s="17">
        <v>11</v>
      </c>
      <c r="D36" s="13">
        <v>4</v>
      </c>
      <c r="E36" s="17">
        <v>4</v>
      </c>
      <c r="F36" s="7"/>
      <c r="G36" s="7"/>
      <c r="H36" s="7"/>
    </row>
    <row r="37" spans="1:8" ht="15.75" customHeight="1">
      <c r="A37" s="4">
        <v>5</v>
      </c>
      <c r="B37" s="17">
        <v>50</v>
      </c>
      <c r="C37" s="17">
        <v>10.5</v>
      </c>
      <c r="D37" s="13">
        <v>2</v>
      </c>
      <c r="E37" s="17">
        <v>4.5</v>
      </c>
      <c r="F37" s="7"/>
      <c r="G37" s="14" t="s">
        <v>243</v>
      </c>
      <c r="H37" s="14" t="s">
        <v>244</v>
      </c>
    </row>
    <row r="38" spans="1:8" ht="15.75" customHeight="1">
      <c r="A38" s="4">
        <v>6</v>
      </c>
      <c r="B38" s="17">
        <v>45</v>
      </c>
      <c r="C38" s="17">
        <v>11.5</v>
      </c>
      <c r="D38" s="13">
        <v>4</v>
      </c>
      <c r="E38" s="17">
        <v>3.5</v>
      </c>
      <c r="F38" s="7"/>
      <c r="G38" s="7"/>
      <c r="H38" s="7"/>
    </row>
    <row r="39" spans="1:8" ht="15.75" customHeight="1">
      <c r="A39" s="4">
        <v>7</v>
      </c>
      <c r="B39" s="17">
        <v>41.5</v>
      </c>
      <c r="C39" s="17">
        <v>11</v>
      </c>
      <c r="D39" s="13">
        <v>4</v>
      </c>
      <c r="E39" s="17">
        <v>4</v>
      </c>
      <c r="F39" s="7"/>
      <c r="G39" s="7"/>
      <c r="H39" s="7"/>
    </row>
    <row r="40" spans="1:8" ht="15.75" customHeight="1">
      <c r="A40" s="4">
        <v>8</v>
      </c>
      <c r="B40" s="17">
        <v>45</v>
      </c>
      <c r="C40" s="17">
        <v>11</v>
      </c>
      <c r="D40" s="13">
        <v>4</v>
      </c>
      <c r="E40" s="17">
        <v>4</v>
      </c>
      <c r="F40" s="7"/>
      <c r="G40" s="7"/>
      <c r="H40" s="7"/>
    </row>
    <row r="41" spans="1:8" ht="15.75" customHeight="1">
      <c r="A41" s="4">
        <v>9</v>
      </c>
      <c r="B41" s="17">
        <v>45</v>
      </c>
      <c r="C41" s="17">
        <v>8.5</v>
      </c>
      <c r="D41" s="13">
        <v>4</v>
      </c>
      <c r="E41" s="17">
        <v>4</v>
      </c>
      <c r="F41" s="7"/>
      <c r="G41" s="7"/>
      <c r="H41" s="14" t="s">
        <v>245</v>
      </c>
    </row>
    <row r="42" spans="1:8" ht="15.75" customHeight="1">
      <c r="A42" s="4">
        <v>10</v>
      </c>
      <c r="B42" s="17">
        <v>39.5</v>
      </c>
      <c r="C42" s="17">
        <v>10.5</v>
      </c>
      <c r="D42" s="13">
        <v>4</v>
      </c>
      <c r="E42" s="17">
        <v>4.5</v>
      </c>
      <c r="F42" s="7"/>
      <c r="G42" s="7"/>
      <c r="H42" s="7"/>
    </row>
    <row r="43" spans="1:8" ht="15.75" customHeight="1">
      <c r="A43" s="8">
        <v>11</v>
      </c>
      <c r="B43" s="5"/>
      <c r="C43" s="5"/>
      <c r="D43" s="13">
        <v>4</v>
      </c>
      <c r="E43" s="5"/>
      <c r="F43" s="7"/>
      <c r="G43" s="7"/>
      <c r="H43" s="7"/>
    </row>
    <row r="44" spans="1:8" ht="15.75" customHeight="1">
      <c r="A44" s="8">
        <v>12</v>
      </c>
      <c r="D44" s="12">
        <v>4</v>
      </c>
      <c r="F44" s="7"/>
      <c r="G44" s="7"/>
      <c r="H44" s="7"/>
    </row>
    <row r="45" spans="1:8" ht="15.75" customHeight="1">
      <c r="A45" s="8">
        <v>13</v>
      </c>
      <c r="D45" s="12">
        <v>4</v>
      </c>
      <c r="F45" s="7"/>
      <c r="G45" s="7"/>
      <c r="H45" s="7"/>
    </row>
    <row r="46" spans="1:8" ht="15.75" customHeight="1">
      <c r="A46" s="8">
        <v>14</v>
      </c>
      <c r="D46" s="12">
        <v>4</v>
      </c>
      <c r="F46" s="7"/>
      <c r="G46" s="7"/>
      <c r="H46" s="7"/>
    </row>
    <row r="47" spans="1:8" ht="15.75" customHeight="1">
      <c r="A47" s="8">
        <v>15</v>
      </c>
      <c r="D47" s="12">
        <v>4</v>
      </c>
      <c r="F47" s="7"/>
      <c r="G47" s="7"/>
      <c r="H47" s="7"/>
    </row>
    <row r="48" spans="1:8" ht="15.75" customHeight="1">
      <c r="A48" s="8">
        <v>16</v>
      </c>
      <c r="D48" s="12">
        <v>4</v>
      </c>
      <c r="F48" s="7"/>
      <c r="G48" s="7"/>
      <c r="H48" s="7"/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44.6</v>
      </c>
      <c r="C58" s="5">
        <f t="shared" si="4"/>
        <v>10.75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39.5</v>
      </c>
      <c r="C59" s="5">
        <f t="shared" si="5"/>
        <v>8.5</v>
      </c>
      <c r="D59" s="11">
        <f t="shared" si="5"/>
        <v>2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50</v>
      </c>
      <c r="C60" s="5">
        <f t="shared" si="6"/>
        <v>12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2"/>
      <c r="D72" s="16"/>
    </row>
    <row r="73" spans="1:8" ht="14">
      <c r="A73" s="15" t="s">
        <v>28</v>
      </c>
      <c r="B73" s="1" t="s">
        <v>246</v>
      </c>
      <c r="C73" s="14" t="s">
        <v>245</v>
      </c>
      <c r="D73" s="16"/>
    </row>
    <row r="74" spans="1:8" ht="14">
      <c r="A74" s="2"/>
      <c r="D74" s="16"/>
    </row>
    <row r="75" spans="1:8" ht="14">
      <c r="A75" s="2"/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J74"/>
  <sheetViews>
    <sheetView workbookViewId="0"/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9.5</v>
      </c>
      <c r="C2" s="17">
        <v>9.5</v>
      </c>
      <c r="D2" s="6">
        <f t="shared" ref="D2:D26" si="0">B2/C2</f>
        <v>1</v>
      </c>
      <c r="E2" s="7"/>
      <c r="F2" s="7"/>
      <c r="G2" s="14" t="s">
        <v>247</v>
      </c>
      <c r="H2" s="7"/>
    </row>
    <row r="3" spans="1:9" ht="15.75" customHeight="1">
      <c r="A3" s="4">
        <v>2</v>
      </c>
      <c r="B3" s="17">
        <v>11.5</v>
      </c>
      <c r="C3" s="17">
        <v>11.5</v>
      </c>
      <c r="D3" s="6">
        <f t="shared" si="0"/>
        <v>1</v>
      </c>
      <c r="E3" s="7"/>
      <c r="F3" s="7"/>
      <c r="G3" s="7"/>
      <c r="H3" s="7"/>
    </row>
    <row r="4" spans="1:9" ht="15.75" customHeight="1">
      <c r="A4" s="4">
        <v>3</v>
      </c>
      <c r="B4" s="17">
        <v>10</v>
      </c>
      <c r="C4" s="17">
        <v>10</v>
      </c>
      <c r="D4" s="6">
        <f t="shared" si="0"/>
        <v>1</v>
      </c>
      <c r="E4" s="7"/>
      <c r="F4" s="7"/>
      <c r="G4" s="7"/>
      <c r="H4" s="7"/>
    </row>
    <row r="5" spans="1:9" ht="15.75" customHeight="1">
      <c r="A5" s="4">
        <v>4</v>
      </c>
      <c r="B5" s="17">
        <v>9.5</v>
      </c>
      <c r="C5" s="17">
        <v>9.5</v>
      </c>
      <c r="D5" s="6">
        <f t="shared" si="0"/>
        <v>1</v>
      </c>
      <c r="E5" s="7"/>
      <c r="F5" s="7"/>
      <c r="G5" s="7"/>
      <c r="H5" s="7"/>
    </row>
    <row r="6" spans="1:9" ht="15.75" customHeight="1">
      <c r="A6" s="4">
        <v>5</v>
      </c>
      <c r="B6" s="17">
        <v>9.5</v>
      </c>
      <c r="C6" s="17">
        <v>9</v>
      </c>
      <c r="D6" s="6">
        <f t="shared" si="0"/>
        <v>1.0555555555555556</v>
      </c>
      <c r="E6" s="7"/>
      <c r="F6" s="7"/>
      <c r="G6" s="7"/>
      <c r="H6" s="7"/>
      <c r="I6" s="1" t="s">
        <v>248</v>
      </c>
    </row>
    <row r="7" spans="1:9" ht="15.75" customHeight="1">
      <c r="A7" s="4">
        <v>6</v>
      </c>
      <c r="B7" s="17">
        <v>10</v>
      </c>
      <c r="C7" s="17">
        <v>9.5</v>
      </c>
      <c r="D7" s="6">
        <f t="shared" si="0"/>
        <v>1.0526315789473684</v>
      </c>
      <c r="E7" s="7"/>
      <c r="F7" s="7"/>
      <c r="G7" s="7"/>
      <c r="H7" s="7"/>
    </row>
    <row r="8" spans="1:9" ht="15.75" customHeight="1">
      <c r="A8" s="4">
        <v>7</v>
      </c>
      <c r="B8" s="17">
        <v>9</v>
      </c>
      <c r="C8" s="17">
        <v>9</v>
      </c>
      <c r="D8" s="6">
        <f t="shared" si="0"/>
        <v>1</v>
      </c>
      <c r="E8" s="7"/>
      <c r="F8" s="7"/>
      <c r="G8" s="7"/>
      <c r="H8" s="7"/>
    </row>
    <row r="9" spans="1:9" ht="15.75" customHeight="1">
      <c r="A9" s="4">
        <v>8</v>
      </c>
      <c r="B9" s="17">
        <v>9.5</v>
      </c>
      <c r="C9" s="17">
        <v>9</v>
      </c>
      <c r="D9" s="6">
        <f t="shared" si="0"/>
        <v>1.0555555555555556</v>
      </c>
      <c r="E9" s="7"/>
      <c r="F9" s="7"/>
      <c r="G9" s="7"/>
      <c r="H9" s="7"/>
    </row>
    <row r="10" spans="1:9" ht="15.75" customHeight="1">
      <c r="A10" s="4">
        <v>9</v>
      </c>
      <c r="B10" s="17">
        <v>9.5</v>
      </c>
      <c r="C10" s="17">
        <v>9</v>
      </c>
      <c r="D10" s="6">
        <f t="shared" si="0"/>
        <v>1.0555555555555556</v>
      </c>
      <c r="E10" s="7"/>
      <c r="F10" s="7"/>
      <c r="G10" s="7"/>
      <c r="H10" s="7"/>
    </row>
    <row r="11" spans="1:9" ht="15.75" customHeight="1">
      <c r="A11" s="4">
        <v>10</v>
      </c>
      <c r="B11" s="17">
        <v>10</v>
      </c>
      <c r="C11" s="17">
        <v>9.5</v>
      </c>
      <c r="D11" s="6">
        <f t="shared" si="0"/>
        <v>1.0526315789473684</v>
      </c>
      <c r="E11" s="7"/>
      <c r="F11" s="7"/>
      <c r="G11" s="7"/>
      <c r="H11" s="7"/>
    </row>
    <row r="12" spans="1:9" ht="15.75" customHeight="1">
      <c r="A12" s="8">
        <v>11</v>
      </c>
      <c r="B12" s="17">
        <v>9</v>
      </c>
      <c r="C12" s="17">
        <v>9</v>
      </c>
      <c r="D12" s="6">
        <f t="shared" si="0"/>
        <v>1</v>
      </c>
      <c r="E12" s="7"/>
      <c r="F12" s="7"/>
      <c r="G12" s="7"/>
      <c r="H12" s="7"/>
    </row>
    <row r="13" spans="1:9" ht="15.75" customHeight="1">
      <c r="A13" s="8">
        <v>12</v>
      </c>
      <c r="B13" s="17">
        <v>9.5</v>
      </c>
      <c r="C13" s="17">
        <v>8.5</v>
      </c>
      <c r="D13" s="6">
        <f t="shared" si="0"/>
        <v>1.1176470588235294</v>
      </c>
      <c r="E13" s="7"/>
      <c r="F13" s="7"/>
      <c r="G13" s="7"/>
      <c r="H13" s="7"/>
    </row>
    <row r="14" spans="1:9" ht="15.75" customHeight="1">
      <c r="A14" s="8">
        <v>13</v>
      </c>
      <c r="B14" s="17">
        <v>9.5</v>
      </c>
      <c r="C14" s="17">
        <v>8.5</v>
      </c>
      <c r="D14" s="6">
        <f t="shared" si="0"/>
        <v>1.1176470588235294</v>
      </c>
      <c r="E14" s="7"/>
      <c r="F14" s="7"/>
      <c r="G14" s="7"/>
      <c r="H14" s="7"/>
    </row>
    <row r="15" spans="1:9" ht="15.75" customHeight="1">
      <c r="A15" s="8">
        <v>14</v>
      </c>
      <c r="B15" s="17">
        <v>8.5</v>
      </c>
      <c r="C15" s="17">
        <v>8</v>
      </c>
      <c r="D15" s="6">
        <f t="shared" si="0"/>
        <v>1.0625</v>
      </c>
      <c r="E15" s="7"/>
      <c r="F15" s="7"/>
      <c r="G15" s="7"/>
      <c r="H15" s="7"/>
    </row>
    <row r="16" spans="1:9" ht="15.75" customHeight="1">
      <c r="A16" s="8">
        <v>15</v>
      </c>
      <c r="B16" s="17">
        <v>9</v>
      </c>
      <c r="C16" s="17">
        <v>8</v>
      </c>
      <c r="D16" s="6">
        <f t="shared" si="0"/>
        <v>1.125</v>
      </c>
      <c r="E16" s="7"/>
      <c r="F16" s="7"/>
      <c r="G16" s="7"/>
      <c r="H16" s="7"/>
    </row>
    <row r="17" spans="1:8" ht="15.75" customHeight="1">
      <c r="A17" s="8">
        <v>16</v>
      </c>
      <c r="B17" s="17">
        <v>11</v>
      </c>
      <c r="C17" s="17">
        <v>11.5</v>
      </c>
      <c r="D17" s="6">
        <f t="shared" si="0"/>
        <v>0.95652173913043481</v>
      </c>
      <c r="E17" s="7"/>
      <c r="F17" s="7"/>
      <c r="G17" s="7"/>
      <c r="H17" s="7"/>
    </row>
    <row r="18" spans="1:8" ht="15.75" customHeight="1">
      <c r="A18" s="8">
        <v>17</v>
      </c>
      <c r="B18" s="17">
        <v>10.5</v>
      </c>
      <c r="C18" s="17">
        <v>11</v>
      </c>
      <c r="D18" s="6">
        <f t="shared" si="0"/>
        <v>0.95454545454545459</v>
      </c>
      <c r="E18" s="7"/>
      <c r="F18" s="7"/>
      <c r="G18" s="7"/>
      <c r="H18" s="7"/>
    </row>
    <row r="19" spans="1:8" ht="15.75" customHeight="1">
      <c r="A19" s="8">
        <v>18</v>
      </c>
      <c r="B19" s="17">
        <v>9.5</v>
      </c>
      <c r="C19" s="17">
        <v>9</v>
      </c>
      <c r="D19" s="6">
        <f t="shared" si="0"/>
        <v>1.0555555555555556</v>
      </c>
      <c r="E19" s="7"/>
      <c r="F19" s="7"/>
      <c r="G19" s="7"/>
      <c r="H19" s="7"/>
    </row>
    <row r="20" spans="1:8" ht="15.75" customHeight="1">
      <c r="A20" s="8">
        <v>19</v>
      </c>
      <c r="B20" s="17">
        <v>9.5</v>
      </c>
      <c r="C20" s="17">
        <v>9.5</v>
      </c>
      <c r="D20" s="6">
        <f t="shared" si="0"/>
        <v>1</v>
      </c>
      <c r="E20" s="7"/>
      <c r="F20" s="7"/>
      <c r="G20" s="7"/>
      <c r="H20" s="7"/>
    </row>
    <row r="21" spans="1:8" ht="15.75" customHeight="1">
      <c r="A21" s="8">
        <v>20</v>
      </c>
      <c r="B21" s="17">
        <v>9</v>
      </c>
      <c r="C21" s="17">
        <v>9</v>
      </c>
      <c r="D21" s="6">
        <f t="shared" si="0"/>
        <v>1</v>
      </c>
      <c r="E21" s="7"/>
      <c r="F21" s="7"/>
      <c r="G21" s="7"/>
      <c r="H21" s="7"/>
    </row>
    <row r="22" spans="1:8" ht="15.75" customHeight="1">
      <c r="A22" s="8">
        <v>21</v>
      </c>
      <c r="B22" s="17">
        <v>10</v>
      </c>
      <c r="C22" s="17">
        <v>9.5</v>
      </c>
      <c r="D22" s="6">
        <f t="shared" si="0"/>
        <v>1.0526315789473684</v>
      </c>
      <c r="E22" s="7"/>
      <c r="F22" s="7"/>
      <c r="G22" s="7"/>
      <c r="H22" s="7"/>
    </row>
    <row r="23" spans="1:8" ht="15.75" customHeight="1">
      <c r="A23" s="8">
        <v>22</v>
      </c>
      <c r="B23" s="17">
        <v>10</v>
      </c>
      <c r="C23" s="17">
        <v>9.5</v>
      </c>
      <c r="D23" s="6">
        <f t="shared" si="0"/>
        <v>1.0526315789473684</v>
      </c>
      <c r="E23" s="7"/>
      <c r="F23" s="7"/>
      <c r="G23" s="7"/>
      <c r="H23" s="7"/>
    </row>
    <row r="24" spans="1:8" ht="15.75" customHeight="1">
      <c r="A24" s="8">
        <v>23</v>
      </c>
      <c r="B24" s="17">
        <v>10</v>
      </c>
      <c r="C24" s="17">
        <v>10</v>
      </c>
      <c r="D24" s="6">
        <f t="shared" si="0"/>
        <v>1</v>
      </c>
      <c r="E24" s="7"/>
      <c r="F24" s="7"/>
      <c r="G24" s="7"/>
      <c r="H24" s="7"/>
    </row>
    <row r="25" spans="1:8" ht="15.75" customHeight="1">
      <c r="A25" s="8">
        <v>24</v>
      </c>
      <c r="B25" s="17">
        <v>8.5</v>
      </c>
      <c r="C25" s="17">
        <v>9.5</v>
      </c>
      <c r="D25" s="6">
        <f t="shared" si="0"/>
        <v>0.89473684210526316</v>
      </c>
      <c r="E25" s="7"/>
      <c r="F25" s="7"/>
      <c r="G25" s="7"/>
      <c r="H25" s="7"/>
    </row>
    <row r="26" spans="1:8" ht="15.75" customHeight="1">
      <c r="A26" s="8">
        <v>25</v>
      </c>
      <c r="B26" s="17">
        <v>9.5</v>
      </c>
      <c r="C26" s="17">
        <v>9.5</v>
      </c>
      <c r="D26" s="6">
        <f t="shared" si="0"/>
        <v>1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9.64</v>
      </c>
      <c r="C27" s="5">
        <f t="shared" si="1"/>
        <v>9.42</v>
      </c>
      <c r="D27" s="9">
        <f t="shared" si="1"/>
        <v>1.0264538676575965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8.5</v>
      </c>
      <c r="C28" s="5">
        <f t="shared" si="2"/>
        <v>8</v>
      </c>
      <c r="D28" s="9">
        <f t="shared" si="2"/>
        <v>0.89473684210526316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11</v>
      </c>
      <c r="C29" s="5">
        <f t="shared" si="3"/>
        <v>11.5</v>
      </c>
      <c r="D29" s="9">
        <f t="shared" si="3"/>
        <v>1.125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10" ht="15.75" customHeight="1">
      <c r="A33" s="4">
        <v>1</v>
      </c>
      <c r="B33" s="17">
        <v>59</v>
      </c>
      <c r="C33" s="17">
        <v>13.5</v>
      </c>
      <c r="D33" s="13">
        <v>2</v>
      </c>
      <c r="E33" s="17">
        <v>5</v>
      </c>
      <c r="F33" s="7"/>
      <c r="G33" s="7"/>
      <c r="H33" s="7"/>
      <c r="I33" s="1" t="s">
        <v>249</v>
      </c>
      <c r="J33" s="1" t="s">
        <v>250</v>
      </c>
    </row>
    <row r="34" spans="1:10" ht="15.75" customHeight="1">
      <c r="A34" s="4">
        <v>2</v>
      </c>
      <c r="B34" s="17">
        <v>55</v>
      </c>
      <c r="C34" s="17">
        <v>14</v>
      </c>
      <c r="D34" s="13">
        <v>4</v>
      </c>
      <c r="E34" s="17">
        <v>5</v>
      </c>
      <c r="F34" s="7"/>
      <c r="G34" s="7"/>
      <c r="H34" s="7"/>
    </row>
    <row r="35" spans="1:10" ht="15.75" customHeight="1">
      <c r="A35" s="4">
        <v>3</v>
      </c>
      <c r="B35" s="17">
        <v>55.5</v>
      </c>
      <c r="C35" s="17">
        <v>14.5</v>
      </c>
      <c r="D35" s="13">
        <v>4</v>
      </c>
      <c r="E35" s="14">
        <v>7</v>
      </c>
      <c r="F35" s="7"/>
      <c r="G35" s="7"/>
      <c r="H35" s="7"/>
    </row>
    <row r="36" spans="1:10" ht="15.75" customHeight="1">
      <c r="A36" s="4">
        <v>4</v>
      </c>
      <c r="B36" s="17">
        <v>50.5</v>
      </c>
      <c r="C36" s="17">
        <v>14</v>
      </c>
      <c r="D36" s="13">
        <v>4</v>
      </c>
      <c r="E36" s="17">
        <v>3.5</v>
      </c>
      <c r="F36" s="7"/>
      <c r="G36" s="7"/>
      <c r="H36" s="7"/>
    </row>
    <row r="37" spans="1:10" ht="15.75" customHeight="1">
      <c r="A37" s="4">
        <v>5</v>
      </c>
      <c r="B37" s="17">
        <v>50</v>
      </c>
      <c r="C37" s="17">
        <v>11.5</v>
      </c>
      <c r="D37" s="13">
        <v>4</v>
      </c>
      <c r="E37" s="17">
        <v>6</v>
      </c>
      <c r="F37" s="7"/>
      <c r="G37" s="7"/>
      <c r="H37" s="7"/>
    </row>
    <row r="38" spans="1:10" ht="15.75" customHeight="1">
      <c r="A38" s="4">
        <v>6</v>
      </c>
      <c r="B38" s="17">
        <v>51</v>
      </c>
      <c r="C38" s="17">
        <v>13</v>
      </c>
      <c r="D38" s="13">
        <v>4</v>
      </c>
      <c r="E38" s="17">
        <v>5</v>
      </c>
      <c r="F38" s="7"/>
      <c r="G38" s="7"/>
      <c r="H38" s="7"/>
    </row>
    <row r="39" spans="1:10" ht="15.75" customHeight="1">
      <c r="A39" s="4">
        <v>7</v>
      </c>
      <c r="B39" s="17">
        <v>46.5</v>
      </c>
      <c r="C39" s="17">
        <v>11.5</v>
      </c>
      <c r="D39" s="13">
        <v>4</v>
      </c>
      <c r="E39" s="17">
        <v>5.5</v>
      </c>
      <c r="F39" s="7"/>
      <c r="G39" s="7"/>
      <c r="H39" s="7"/>
    </row>
    <row r="40" spans="1:10" ht="15.75" customHeight="1">
      <c r="A40" s="4">
        <v>8</v>
      </c>
      <c r="B40" s="5"/>
      <c r="C40" s="5"/>
      <c r="D40" s="13">
        <v>4</v>
      </c>
      <c r="E40" s="5"/>
      <c r="F40" s="7"/>
      <c r="G40" s="7"/>
      <c r="H40" s="7"/>
    </row>
    <row r="41" spans="1:10" ht="15.75" customHeight="1">
      <c r="A41" s="4">
        <v>9</v>
      </c>
      <c r="B41" s="5"/>
      <c r="C41" s="5"/>
      <c r="D41" s="13">
        <v>4</v>
      </c>
      <c r="E41" s="5"/>
      <c r="F41" s="7"/>
      <c r="G41" s="7"/>
      <c r="H41" s="7"/>
    </row>
    <row r="42" spans="1:10" ht="15.75" customHeight="1">
      <c r="A42" s="4">
        <v>10</v>
      </c>
      <c r="B42" s="5"/>
      <c r="C42" s="5"/>
      <c r="D42" s="13">
        <v>4</v>
      </c>
      <c r="E42" s="5"/>
      <c r="F42" s="7"/>
      <c r="G42" s="7"/>
      <c r="H42" s="7"/>
    </row>
    <row r="43" spans="1:10" ht="15.75" customHeight="1">
      <c r="A43" s="8">
        <v>11</v>
      </c>
      <c r="B43" s="5"/>
      <c r="C43" s="5"/>
      <c r="D43" s="13">
        <v>4</v>
      </c>
      <c r="E43" s="5"/>
      <c r="F43" s="7"/>
      <c r="G43" s="7"/>
      <c r="H43" s="7"/>
    </row>
    <row r="44" spans="1:10" ht="15.75" customHeight="1">
      <c r="A44" s="8">
        <v>12</v>
      </c>
      <c r="D44" s="12">
        <v>4</v>
      </c>
      <c r="F44" s="7"/>
      <c r="G44" s="7"/>
      <c r="H44" s="7"/>
    </row>
    <row r="45" spans="1:10" ht="15.75" customHeight="1">
      <c r="A45" s="8">
        <v>13</v>
      </c>
      <c r="D45" s="12">
        <v>4</v>
      </c>
      <c r="F45" s="7"/>
      <c r="G45" s="7"/>
      <c r="H45" s="7"/>
    </row>
    <row r="46" spans="1:10" ht="15.75" customHeight="1">
      <c r="A46" s="8">
        <v>14</v>
      </c>
      <c r="D46" s="12">
        <v>4</v>
      </c>
      <c r="F46" s="7"/>
      <c r="G46" s="7"/>
      <c r="H46" s="7"/>
    </row>
    <row r="47" spans="1:10" ht="15.75" customHeight="1">
      <c r="A47" s="8">
        <v>15</v>
      </c>
      <c r="D47" s="12">
        <v>4</v>
      </c>
      <c r="F47" s="7"/>
      <c r="G47" s="7"/>
      <c r="H47" s="7"/>
    </row>
    <row r="48" spans="1:10" ht="15.75" customHeight="1">
      <c r="A48" s="8">
        <v>16</v>
      </c>
      <c r="D48" s="12">
        <v>4</v>
      </c>
      <c r="F48" s="7"/>
      <c r="G48" s="7"/>
      <c r="H48" s="7"/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52.5</v>
      </c>
      <c r="C58" s="5">
        <f t="shared" si="4"/>
        <v>13.142857142857142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46.5</v>
      </c>
      <c r="C59" s="5">
        <f t="shared" si="5"/>
        <v>11.5</v>
      </c>
      <c r="D59" s="11">
        <f t="shared" si="5"/>
        <v>2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55.5</v>
      </c>
      <c r="C60" s="5">
        <f t="shared" si="6"/>
        <v>14.5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19">
        <v>1</v>
      </c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7</v>
      </c>
      <c r="C65" s="7"/>
      <c r="D65" s="10"/>
      <c r="E65" s="7"/>
      <c r="F65" s="7"/>
      <c r="G65" s="7"/>
      <c r="H65" s="7"/>
    </row>
    <row r="66" spans="1:8" ht="14">
      <c r="A66" s="2"/>
      <c r="B66" s="14">
        <v>8</v>
      </c>
      <c r="C66" s="7"/>
      <c r="D66" s="10"/>
      <c r="E66" s="7"/>
      <c r="F66" s="7"/>
      <c r="G66" s="7"/>
      <c r="H66" s="7"/>
    </row>
    <row r="67" spans="1:8" ht="14">
      <c r="A67" s="2"/>
      <c r="B67" s="14">
        <v>5.5</v>
      </c>
      <c r="C67" s="7"/>
      <c r="D67" s="10"/>
      <c r="E67" s="7"/>
      <c r="F67" s="7"/>
      <c r="G67" s="7"/>
      <c r="H67" s="7"/>
    </row>
    <row r="68" spans="1:8" ht="14">
      <c r="A68" s="2"/>
      <c r="B68" s="14">
        <v>6.5</v>
      </c>
      <c r="C68" s="7"/>
      <c r="D68" s="10"/>
      <c r="E68" s="7"/>
      <c r="F68" s="7"/>
      <c r="G68" s="7"/>
      <c r="H68" s="7"/>
    </row>
    <row r="69" spans="1:8" ht="14">
      <c r="A69" s="2"/>
      <c r="B69" s="14">
        <v>7.5</v>
      </c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2"/>
    </row>
    <row r="73" spans="1:8" ht="14">
      <c r="A73" s="15" t="s">
        <v>251</v>
      </c>
      <c r="B73" s="1" t="s">
        <v>252</v>
      </c>
    </row>
    <row r="74" spans="1:8" ht="14">
      <c r="A74" s="2"/>
    </row>
  </sheetData>
  <mergeCells count="1">
    <mergeCell ref="D62:E6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I1006"/>
  <sheetViews>
    <sheetView workbookViewId="0"/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12</v>
      </c>
      <c r="C2" s="17">
        <v>12</v>
      </c>
      <c r="D2" s="6">
        <f t="shared" ref="D2:D26" si="0">B2/C2</f>
        <v>1</v>
      </c>
      <c r="E2" s="14" t="s">
        <v>29</v>
      </c>
      <c r="F2" s="14" t="s">
        <v>35</v>
      </c>
      <c r="G2" s="14" t="s">
        <v>35</v>
      </c>
      <c r="H2" s="14" t="s">
        <v>253</v>
      </c>
    </row>
    <row r="3" spans="1:8" ht="15.75" customHeight="1">
      <c r="A3" s="4">
        <v>2</v>
      </c>
      <c r="B3" s="17">
        <v>12</v>
      </c>
      <c r="C3" s="17">
        <v>11.5</v>
      </c>
      <c r="D3" s="6">
        <f t="shared" si="0"/>
        <v>1.0434782608695652</v>
      </c>
      <c r="E3" s="7"/>
      <c r="F3" s="7"/>
      <c r="G3" s="7"/>
      <c r="H3" s="7"/>
    </row>
    <row r="4" spans="1:8" ht="15.75" customHeight="1">
      <c r="A4" s="4">
        <v>3</v>
      </c>
      <c r="B4" s="17">
        <v>12</v>
      </c>
      <c r="C4" s="17">
        <v>11</v>
      </c>
      <c r="D4" s="6">
        <f t="shared" si="0"/>
        <v>1.0909090909090908</v>
      </c>
      <c r="E4" s="7"/>
      <c r="F4" s="7"/>
      <c r="G4" s="7"/>
      <c r="H4" s="7"/>
    </row>
    <row r="5" spans="1:8" ht="15.75" customHeight="1">
      <c r="A5" s="4">
        <v>4</v>
      </c>
      <c r="B5" s="17">
        <v>10.5</v>
      </c>
      <c r="C5" s="17">
        <v>11</v>
      </c>
      <c r="D5" s="6">
        <f t="shared" si="0"/>
        <v>0.95454545454545459</v>
      </c>
      <c r="E5" s="7"/>
      <c r="F5" s="7"/>
      <c r="G5" s="7"/>
      <c r="H5" s="7"/>
    </row>
    <row r="6" spans="1:8" ht="15.75" customHeight="1">
      <c r="A6" s="4">
        <v>5</v>
      </c>
      <c r="B6" s="17">
        <v>10</v>
      </c>
      <c r="C6" s="17">
        <v>11</v>
      </c>
      <c r="D6" s="6">
        <f t="shared" si="0"/>
        <v>0.90909090909090906</v>
      </c>
      <c r="E6" s="7"/>
      <c r="F6" s="7"/>
      <c r="G6" s="7"/>
      <c r="H6" s="7"/>
    </row>
    <row r="7" spans="1:8" ht="15.75" customHeight="1">
      <c r="A7" s="4">
        <v>6</v>
      </c>
      <c r="B7" s="17">
        <v>11</v>
      </c>
      <c r="C7" s="17">
        <v>11.5</v>
      </c>
      <c r="D7" s="6">
        <f t="shared" si="0"/>
        <v>0.95652173913043481</v>
      </c>
      <c r="E7" s="7"/>
      <c r="F7" s="7"/>
      <c r="G7" s="7"/>
      <c r="H7" s="7"/>
    </row>
    <row r="8" spans="1:8" ht="15.75" customHeight="1">
      <c r="A8" s="4">
        <v>7</v>
      </c>
      <c r="B8" s="17">
        <v>11</v>
      </c>
      <c r="C8" s="17">
        <v>12</v>
      </c>
      <c r="D8" s="6">
        <f t="shared" si="0"/>
        <v>0.91666666666666663</v>
      </c>
      <c r="E8" s="7"/>
      <c r="F8" s="7"/>
      <c r="G8" s="7"/>
      <c r="H8" s="7"/>
    </row>
    <row r="9" spans="1:8" ht="15.75" customHeight="1">
      <c r="A9" s="4">
        <v>8</v>
      </c>
      <c r="B9" s="17">
        <v>11.5</v>
      </c>
      <c r="C9" s="17">
        <v>11.5</v>
      </c>
      <c r="D9" s="6">
        <f t="shared" si="0"/>
        <v>1</v>
      </c>
      <c r="E9" s="7"/>
      <c r="F9" s="7"/>
      <c r="G9" s="7"/>
      <c r="H9" s="7"/>
    </row>
    <row r="10" spans="1:8" ht="15.75" customHeight="1">
      <c r="A10" s="4">
        <v>9</v>
      </c>
      <c r="B10" s="17">
        <v>11</v>
      </c>
      <c r="C10" s="17">
        <v>12</v>
      </c>
      <c r="D10" s="6">
        <f t="shared" si="0"/>
        <v>0.91666666666666663</v>
      </c>
      <c r="E10" s="7"/>
      <c r="F10" s="7"/>
      <c r="G10" s="7"/>
      <c r="H10" s="7"/>
    </row>
    <row r="11" spans="1:8" ht="15.75" customHeight="1">
      <c r="A11" s="4">
        <v>10</v>
      </c>
      <c r="B11" s="17">
        <v>11.5</v>
      </c>
      <c r="C11" s="17">
        <v>12</v>
      </c>
      <c r="D11" s="6">
        <f t="shared" si="0"/>
        <v>0.95833333333333337</v>
      </c>
      <c r="E11" s="7"/>
      <c r="F11" s="7"/>
      <c r="G11" s="7"/>
      <c r="H11" s="7"/>
    </row>
    <row r="12" spans="1:8" ht="15.75" customHeight="1">
      <c r="A12" s="8">
        <v>11</v>
      </c>
      <c r="B12" s="17">
        <v>10</v>
      </c>
      <c r="C12" s="17">
        <v>10.5</v>
      </c>
      <c r="D12" s="6">
        <f t="shared" si="0"/>
        <v>0.95238095238095233</v>
      </c>
      <c r="E12" s="7"/>
      <c r="F12" s="7"/>
      <c r="G12" s="7"/>
      <c r="H12" s="7"/>
    </row>
    <row r="13" spans="1:8" ht="15.75" customHeight="1">
      <c r="A13" s="8">
        <v>12</v>
      </c>
      <c r="B13" s="17">
        <v>10.5</v>
      </c>
      <c r="C13" s="17">
        <v>11</v>
      </c>
      <c r="D13" s="6">
        <f t="shared" si="0"/>
        <v>0.95454545454545459</v>
      </c>
      <c r="E13" s="7"/>
      <c r="F13" s="7"/>
      <c r="G13" s="7"/>
      <c r="H13" s="7"/>
    </row>
    <row r="14" spans="1:8" ht="15.75" customHeight="1">
      <c r="A14" s="8">
        <v>13</v>
      </c>
      <c r="B14" s="17">
        <v>10.5</v>
      </c>
      <c r="C14" s="17">
        <v>12</v>
      </c>
      <c r="D14" s="6">
        <f t="shared" si="0"/>
        <v>0.875</v>
      </c>
      <c r="E14" s="7"/>
      <c r="F14" s="7"/>
      <c r="G14" s="7"/>
      <c r="H14" s="7"/>
    </row>
    <row r="15" spans="1:8" ht="15.75" customHeight="1">
      <c r="A15" s="8">
        <v>14</v>
      </c>
      <c r="B15" s="17">
        <v>10</v>
      </c>
      <c r="C15" s="17">
        <v>11.5</v>
      </c>
      <c r="D15" s="6">
        <f t="shared" si="0"/>
        <v>0.86956521739130432</v>
      </c>
      <c r="E15" s="7"/>
      <c r="F15" s="7"/>
      <c r="G15" s="7"/>
      <c r="H15" s="7"/>
    </row>
    <row r="16" spans="1:8" ht="15.75" customHeight="1">
      <c r="A16" s="8">
        <v>15</v>
      </c>
      <c r="B16" s="17">
        <v>11.5</v>
      </c>
      <c r="C16" s="17">
        <v>12</v>
      </c>
      <c r="D16" s="6">
        <f t="shared" si="0"/>
        <v>0.95833333333333337</v>
      </c>
      <c r="E16" s="7"/>
      <c r="F16" s="7"/>
      <c r="G16" s="7"/>
      <c r="H16" s="7"/>
    </row>
    <row r="17" spans="1:8" ht="15.75" customHeight="1">
      <c r="A17" s="8">
        <v>16</v>
      </c>
      <c r="B17" s="17">
        <v>11</v>
      </c>
      <c r="C17" s="17">
        <v>12</v>
      </c>
      <c r="D17" s="6">
        <f t="shared" si="0"/>
        <v>0.91666666666666663</v>
      </c>
      <c r="E17" s="7"/>
      <c r="F17" s="7"/>
      <c r="G17" s="7"/>
      <c r="H17" s="7"/>
    </row>
    <row r="18" spans="1:8" ht="15.75" customHeight="1">
      <c r="A18" s="8">
        <v>17</v>
      </c>
      <c r="B18" s="17">
        <v>10.5</v>
      </c>
      <c r="C18" s="17">
        <v>11.5</v>
      </c>
      <c r="D18" s="6">
        <f t="shared" si="0"/>
        <v>0.91304347826086951</v>
      </c>
      <c r="E18" s="7"/>
      <c r="F18" s="7"/>
      <c r="G18" s="7"/>
      <c r="H18" s="7"/>
    </row>
    <row r="19" spans="1:8" ht="15.75" customHeight="1">
      <c r="A19" s="8">
        <v>18</v>
      </c>
      <c r="B19" s="17">
        <v>10.5</v>
      </c>
      <c r="C19" s="17">
        <v>10.5</v>
      </c>
      <c r="D19" s="6">
        <f t="shared" si="0"/>
        <v>1</v>
      </c>
      <c r="E19" s="7"/>
      <c r="F19" s="7"/>
      <c r="G19" s="7"/>
      <c r="H19" s="7"/>
    </row>
    <row r="20" spans="1:8" ht="15.75" customHeight="1">
      <c r="A20" s="8">
        <v>19</v>
      </c>
      <c r="B20" s="17">
        <v>11.5</v>
      </c>
      <c r="C20" s="17">
        <v>12</v>
      </c>
      <c r="D20" s="6">
        <f t="shared" si="0"/>
        <v>0.95833333333333337</v>
      </c>
      <c r="E20" s="7"/>
      <c r="F20" s="7"/>
      <c r="G20" s="7"/>
      <c r="H20" s="7"/>
    </row>
    <row r="21" spans="1:8" ht="15.75" customHeight="1">
      <c r="A21" s="8">
        <v>20</v>
      </c>
      <c r="B21" s="17">
        <v>14</v>
      </c>
      <c r="C21" s="17">
        <v>14</v>
      </c>
      <c r="D21" s="6">
        <f t="shared" si="0"/>
        <v>1</v>
      </c>
      <c r="E21" s="7"/>
      <c r="F21" s="7"/>
      <c r="G21" s="7"/>
      <c r="H21" s="7"/>
    </row>
    <row r="22" spans="1:8" ht="15.75" customHeight="1">
      <c r="A22" s="8">
        <v>21</v>
      </c>
      <c r="B22" s="17">
        <v>11</v>
      </c>
      <c r="C22" s="17">
        <v>11</v>
      </c>
      <c r="D22" s="6">
        <f t="shared" si="0"/>
        <v>1</v>
      </c>
      <c r="E22" s="7"/>
      <c r="F22" s="7"/>
      <c r="G22" s="7"/>
      <c r="H22" s="7"/>
    </row>
    <row r="23" spans="1:8" ht="15.75" customHeight="1">
      <c r="A23" s="8">
        <v>22</v>
      </c>
      <c r="B23" s="17">
        <v>11</v>
      </c>
      <c r="C23" s="17">
        <v>12</v>
      </c>
      <c r="D23" s="6">
        <f t="shared" si="0"/>
        <v>0.91666666666666663</v>
      </c>
      <c r="E23" s="7"/>
      <c r="F23" s="7"/>
      <c r="G23" s="7"/>
      <c r="H23" s="7"/>
    </row>
    <row r="24" spans="1:8" ht="15.75" customHeight="1">
      <c r="A24" s="8">
        <v>23</v>
      </c>
      <c r="B24" s="17">
        <v>12.5</v>
      </c>
      <c r="C24" s="17">
        <v>13</v>
      </c>
      <c r="D24" s="6">
        <f t="shared" si="0"/>
        <v>0.96153846153846156</v>
      </c>
      <c r="E24" s="7"/>
      <c r="F24" s="7"/>
      <c r="G24" s="7"/>
      <c r="H24" s="7"/>
    </row>
    <row r="25" spans="1:8" ht="15.75" customHeight="1">
      <c r="A25" s="8">
        <v>24</v>
      </c>
      <c r="B25" s="17">
        <v>11.5</v>
      </c>
      <c r="C25" s="17">
        <v>11.5</v>
      </c>
      <c r="D25" s="6">
        <f t="shared" si="0"/>
        <v>1</v>
      </c>
      <c r="E25" s="7"/>
      <c r="F25" s="7"/>
      <c r="G25" s="7"/>
      <c r="H25" s="7"/>
    </row>
    <row r="26" spans="1:8" ht="15.75" customHeight="1">
      <c r="A26" s="8">
        <v>25</v>
      </c>
      <c r="B26" s="17">
        <v>11.5</v>
      </c>
      <c r="C26" s="17">
        <v>12</v>
      </c>
      <c r="D26" s="6">
        <f t="shared" si="0"/>
        <v>0.95833333333333337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11.2</v>
      </c>
      <c r="C27" s="5">
        <f t="shared" si="1"/>
        <v>11.68</v>
      </c>
      <c r="D27" s="9">
        <f t="shared" si="1"/>
        <v>0.95922476074649987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10</v>
      </c>
      <c r="C28" s="5">
        <f t="shared" si="2"/>
        <v>10.5</v>
      </c>
      <c r="D28" s="9">
        <f t="shared" si="2"/>
        <v>0.86956521739130432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14</v>
      </c>
      <c r="C29" s="5">
        <f t="shared" si="3"/>
        <v>14</v>
      </c>
      <c r="D29" s="9">
        <f t="shared" si="3"/>
        <v>1.0909090909090908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9" ht="15.75" customHeight="1">
      <c r="A33" s="4">
        <v>1</v>
      </c>
      <c r="B33" s="17">
        <v>54</v>
      </c>
      <c r="C33" s="17">
        <v>16</v>
      </c>
      <c r="D33" s="13">
        <v>4</v>
      </c>
      <c r="E33" s="17">
        <v>5</v>
      </c>
      <c r="F33" s="14" t="s">
        <v>254</v>
      </c>
      <c r="G33" s="7"/>
      <c r="H33" s="7"/>
    </row>
    <row r="34" spans="1:9" ht="15.75" customHeight="1">
      <c r="A34" s="4">
        <v>2</v>
      </c>
      <c r="B34" s="17">
        <v>48.5</v>
      </c>
      <c r="C34" s="17">
        <v>16</v>
      </c>
      <c r="D34" s="13">
        <v>4</v>
      </c>
      <c r="E34" s="17" t="s">
        <v>134</v>
      </c>
      <c r="F34" s="7"/>
      <c r="G34" s="7"/>
      <c r="H34" s="7"/>
    </row>
    <row r="35" spans="1:9" ht="15.75" customHeight="1">
      <c r="A35" s="4">
        <v>3</v>
      </c>
      <c r="B35" s="17">
        <v>48.5</v>
      </c>
      <c r="C35" s="17">
        <v>12.5</v>
      </c>
      <c r="D35" s="13">
        <v>4</v>
      </c>
      <c r="E35" s="14">
        <v>4</v>
      </c>
      <c r="F35" s="7"/>
      <c r="G35" s="7"/>
      <c r="H35" s="7"/>
    </row>
    <row r="36" spans="1:9" ht="15.75" customHeight="1">
      <c r="A36" s="4">
        <v>4</v>
      </c>
      <c r="B36" s="5"/>
      <c r="C36" s="5"/>
      <c r="D36" s="13">
        <v>1</v>
      </c>
      <c r="E36" s="5"/>
      <c r="F36" s="7"/>
      <c r="G36" s="7"/>
      <c r="H36" s="14" t="s">
        <v>255</v>
      </c>
      <c r="I36" s="1">
        <v>164</v>
      </c>
    </row>
    <row r="37" spans="1:9" ht="15.75" customHeight="1">
      <c r="A37" s="4">
        <v>5</v>
      </c>
      <c r="B37" s="17">
        <v>48.5</v>
      </c>
      <c r="C37" s="17">
        <v>14.5</v>
      </c>
      <c r="D37" s="13">
        <v>4</v>
      </c>
      <c r="E37" s="17" t="s">
        <v>134</v>
      </c>
      <c r="F37" s="7"/>
      <c r="G37" s="7"/>
      <c r="H37" s="14" t="s">
        <v>256</v>
      </c>
    </row>
    <row r="38" spans="1:9" ht="15.75" customHeight="1">
      <c r="A38" s="4">
        <v>6</v>
      </c>
      <c r="B38" s="17">
        <v>53.5</v>
      </c>
      <c r="C38" s="17">
        <v>14.5</v>
      </c>
      <c r="D38" s="13">
        <v>4</v>
      </c>
      <c r="E38" s="17" t="s">
        <v>134</v>
      </c>
      <c r="F38" s="7"/>
      <c r="G38" s="7"/>
      <c r="H38" s="7"/>
    </row>
    <row r="39" spans="1:9" ht="15.75" customHeight="1">
      <c r="A39" s="4">
        <v>7</v>
      </c>
      <c r="B39" s="17">
        <v>55.5</v>
      </c>
      <c r="C39" s="17">
        <v>15.5</v>
      </c>
      <c r="D39" s="13">
        <v>4</v>
      </c>
      <c r="E39" s="17">
        <v>4.5</v>
      </c>
      <c r="F39" s="7"/>
      <c r="G39" s="7"/>
      <c r="H39" s="7"/>
    </row>
    <row r="40" spans="1:9" ht="15.75" customHeight="1">
      <c r="A40" s="4">
        <v>8</v>
      </c>
      <c r="B40" s="5"/>
      <c r="C40" s="5"/>
      <c r="D40" s="13">
        <v>1</v>
      </c>
      <c r="E40" s="5"/>
      <c r="F40" s="7"/>
      <c r="G40" s="7"/>
      <c r="H40" s="14" t="s">
        <v>257</v>
      </c>
      <c r="I40" s="1" t="s">
        <v>258</v>
      </c>
    </row>
    <row r="41" spans="1:9" ht="15.75" customHeight="1">
      <c r="A41" s="4">
        <v>9</v>
      </c>
      <c r="B41" s="17">
        <v>51.5</v>
      </c>
      <c r="C41" s="17">
        <v>16.5</v>
      </c>
      <c r="D41" s="13" t="s">
        <v>259</v>
      </c>
      <c r="E41" s="17" t="s">
        <v>134</v>
      </c>
      <c r="F41" s="7"/>
      <c r="G41" s="7"/>
      <c r="H41" s="7"/>
    </row>
    <row r="42" spans="1:9" ht="15.75" customHeight="1">
      <c r="A42" s="4">
        <v>10</v>
      </c>
      <c r="B42" s="17">
        <v>52</v>
      </c>
      <c r="C42" s="17">
        <v>15</v>
      </c>
      <c r="D42" s="13">
        <v>4</v>
      </c>
      <c r="E42" s="17" t="s">
        <v>134</v>
      </c>
      <c r="F42" s="7"/>
      <c r="G42" s="7"/>
      <c r="H42" s="7"/>
    </row>
    <row r="43" spans="1:9" ht="15.75" customHeight="1">
      <c r="A43" s="8">
        <v>11</v>
      </c>
      <c r="B43" s="17">
        <v>46.5</v>
      </c>
      <c r="C43" s="17">
        <v>16</v>
      </c>
      <c r="D43" s="13">
        <v>4</v>
      </c>
      <c r="E43" s="17" t="s">
        <v>134</v>
      </c>
      <c r="F43" s="7"/>
      <c r="G43" s="7"/>
      <c r="H43" s="7"/>
    </row>
    <row r="44" spans="1:9" ht="15.75" customHeight="1">
      <c r="A44" s="8">
        <v>12</v>
      </c>
      <c r="B44" s="1">
        <v>55.5</v>
      </c>
      <c r="C44" s="1">
        <v>15.5</v>
      </c>
      <c r="D44" s="12">
        <v>4</v>
      </c>
      <c r="E44" s="1">
        <v>4</v>
      </c>
      <c r="F44" s="7"/>
      <c r="G44" s="7"/>
      <c r="H44" s="7"/>
    </row>
    <row r="45" spans="1:9" ht="15.75" customHeight="1">
      <c r="A45" s="8">
        <v>13</v>
      </c>
      <c r="B45" s="1">
        <v>47</v>
      </c>
      <c r="C45" s="1">
        <v>15</v>
      </c>
      <c r="D45" s="12">
        <v>4</v>
      </c>
      <c r="E45" s="1">
        <v>5</v>
      </c>
      <c r="F45" s="7"/>
      <c r="G45" s="7"/>
      <c r="H45" s="7"/>
    </row>
    <row r="46" spans="1:9" ht="15.75" customHeight="1">
      <c r="A46" s="8">
        <v>14</v>
      </c>
      <c r="D46" s="12"/>
      <c r="F46" s="7"/>
      <c r="G46" s="7"/>
      <c r="H46" s="7"/>
    </row>
    <row r="47" spans="1:9" ht="15.75" customHeight="1">
      <c r="A47" s="8">
        <v>15</v>
      </c>
      <c r="D47" s="12"/>
      <c r="F47" s="7"/>
      <c r="G47" s="7"/>
      <c r="H47" s="7"/>
    </row>
    <row r="48" spans="1:9" ht="15.75" customHeight="1">
      <c r="A48" s="8">
        <v>16</v>
      </c>
      <c r="D48" s="12">
        <v>4</v>
      </c>
      <c r="F48" s="7"/>
      <c r="G48" s="7"/>
      <c r="H48" s="7"/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2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2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51</v>
      </c>
      <c r="C58" s="5">
        <f t="shared" si="4"/>
        <v>15.181818181818182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46.5</v>
      </c>
      <c r="C59" s="5">
        <f t="shared" si="5"/>
        <v>12.5</v>
      </c>
      <c r="D59" s="11">
        <f t="shared" si="5"/>
        <v>1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55.5</v>
      </c>
      <c r="C60" s="5">
        <f t="shared" si="6"/>
        <v>16.5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14" t="s">
        <v>260</v>
      </c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3">
      <c r="D72" s="16"/>
    </row>
    <row r="73" spans="1:8" ht="13">
      <c r="D73" s="16"/>
    </row>
    <row r="74" spans="1:8" ht="13"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I74"/>
  <sheetViews>
    <sheetView workbookViewId="0"/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8</v>
      </c>
      <c r="C2" s="17">
        <v>8.5</v>
      </c>
      <c r="D2" s="6">
        <f t="shared" ref="D2:D26" si="0">B2/C2</f>
        <v>0.94117647058823528</v>
      </c>
      <c r="E2" s="7"/>
      <c r="F2" s="7"/>
      <c r="G2" s="14" t="s">
        <v>261</v>
      </c>
      <c r="H2" s="7"/>
      <c r="I2" s="1" t="s">
        <v>262</v>
      </c>
    </row>
    <row r="3" spans="1:9" ht="15.75" customHeight="1">
      <c r="A3" s="4">
        <v>2</v>
      </c>
      <c r="B3" s="17">
        <v>11.5</v>
      </c>
      <c r="C3" s="17">
        <v>9</v>
      </c>
      <c r="D3" s="6">
        <f t="shared" si="0"/>
        <v>1.2777777777777777</v>
      </c>
      <c r="E3" s="7"/>
      <c r="F3" s="7"/>
      <c r="G3" s="7"/>
      <c r="H3" s="7"/>
    </row>
    <row r="4" spans="1:9" ht="15.75" customHeight="1">
      <c r="A4" s="4">
        <v>3</v>
      </c>
      <c r="B4" s="17">
        <v>9</v>
      </c>
      <c r="C4" s="17">
        <v>8.5</v>
      </c>
      <c r="D4" s="6">
        <f t="shared" si="0"/>
        <v>1.0588235294117647</v>
      </c>
      <c r="E4" s="7"/>
      <c r="F4" s="7"/>
      <c r="G4" s="7"/>
      <c r="H4" s="7"/>
    </row>
    <row r="5" spans="1:9" ht="15.75" customHeight="1">
      <c r="A5" s="4">
        <v>4</v>
      </c>
      <c r="B5" s="17">
        <v>9.5</v>
      </c>
      <c r="C5" s="17">
        <v>8</v>
      </c>
      <c r="D5" s="6">
        <f t="shared" si="0"/>
        <v>1.1875</v>
      </c>
      <c r="E5" s="7"/>
      <c r="F5" s="7"/>
      <c r="G5" s="7"/>
      <c r="H5" s="7"/>
    </row>
    <row r="6" spans="1:9" ht="15.75" customHeight="1">
      <c r="A6" s="4">
        <v>5</v>
      </c>
      <c r="B6" s="17">
        <v>9.5</v>
      </c>
      <c r="C6" s="17">
        <v>9.5</v>
      </c>
      <c r="D6" s="6">
        <f t="shared" si="0"/>
        <v>1</v>
      </c>
      <c r="E6" s="7"/>
      <c r="F6" s="7"/>
      <c r="G6" s="7"/>
      <c r="H6" s="7"/>
    </row>
    <row r="7" spans="1:9" ht="15.75" customHeight="1">
      <c r="A7" s="4">
        <v>6</v>
      </c>
      <c r="B7" s="17">
        <v>12</v>
      </c>
      <c r="C7" s="17">
        <v>12</v>
      </c>
      <c r="D7" s="6">
        <f t="shared" si="0"/>
        <v>1</v>
      </c>
      <c r="E7" s="7"/>
      <c r="F7" s="7"/>
      <c r="G7" s="7"/>
      <c r="H7" s="7"/>
    </row>
    <row r="8" spans="1:9" ht="15.75" customHeight="1">
      <c r="A8" s="4">
        <v>7</v>
      </c>
      <c r="B8" s="17">
        <v>9</v>
      </c>
      <c r="C8" s="17">
        <v>9</v>
      </c>
      <c r="D8" s="6">
        <f t="shared" si="0"/>
        <v>1</v>
      </c>
      <c r="E8" s="7"/>
      <c r="F8" s="7"/>
      <c r="G8" s="7"/>
      <c r="H8" s="7"/>
    </row>
    <row r="9" spans="1:9" ht="15.75" customHeight="1">
      <c r="A9" s="4">
        <v>8</v>
      </c>
      <c r="B9" s="17">
        <v>10</v>
      </c>
      <c r="C9" s="17">
        <v>10</v>
      </c>
      <c r="D9" s="6">
        <f t="shared" si="0"/>
        <v>1</v>
      </c>
      <c r="E9" s="7"/>
      <c r="F9" s="7"/>
      <c r="G9" s="7"/>
      <c r="H9" s="7"/>
    </row>
    <row r="10" spans="1:9" ht="15.75" customHeight="1">
      <c r="A10" s="4">
        <v>9</v>
      </c>
      <c r="B10" s="17">
        <v>9</v>
      </c>
      <c r="C10" s="17">
        <v>8.5</v>
      </c>
      <c r="D10" s="6">
        <f t="shared" si="0"/>
        <v>1.0588235294117647</v>
      </c>
      <c r="E10" s="7"/>
      <c r="F10" s="7"/>
      <c r="G10" s="7"/>
      <c r="H10" s="7"/>
    </row>
    <row r="11" spans="1:9" ht="15.75" customHeight="1">
      <c r="A11" s="4">
        <v>10</v>
      </c>
      <c r="B11" s="17">
        <v>10</v>
      </c>
      <c r="C11" s="17">
        <v>10</v>
      </c>
      <c r="D11" s="6">
        <f t="shared" si="0"/>
        <v>1</v>
      </c>
      <c r="E11" s="7"/>
      <c r="F11" s="7"/>
      <c r="G11" s="7"/>
      <c r="H11" s="7"/>
    </row>
    <row r="12" spans="1:9" ht="15.75" customHeight="1">
      <c r="A12" s="8">
        <v>11</v>
      </c>
      <c r="B12" s="17">
        <v>10.5</v>
      </c>
      <c r="C12" s="17">
        <v>10</v>
      </c>
      <c r="D12" s="6">
        <f t="shared" si="0"/>
        <v>1.05</v>
      </c>
      <c r="E12" s="7"/>
      <c r="F12" s="7"/>
      <c r="G12" s="7"/>
      <c r="H12" s="7"/>
    </row>
    <row r="13" spans="1:9" ht="15.75" customHeight="1">
      <c r="A13" s="8">
        <v>12</v>
      </c>
      <c r="B13" s="17">
        <v>11.5</v>
      </c>
      <c r="C13" s="17">
        <v>11</v>
      </c>
      <c r="D13" s="6">
        <f t="shared" si="0"/>
        <v>1.0454545454545454</v>
      </c>
      <c r="E13" s="7"/>
      <c r="F13" s="7"/>
      <c r="G13" s="7"/>
      <c r="H13" s="7"/>
    </row>
    <row r="14" spans="1:9" ht="15.75" customHeight="1">
      <c r="A14" s="8">
        <v>13</v>
      </c>
      <c r="B14" s="17">
        <v>9</v>
      </c>
      <c r="C14" s="17">
        <v>9</v>
      </c>
      <c r="D14" s="6">
        <f t="shared" si="0"/>
        <v>1</v>
      </c>
      <c r="E14" s="7"/>
      <c r="F14" s="7"/>
      <c r="G14" s="7"/>
      <c r="H14" s="7"/>
    </row>
    <row r="15" spans="1:9" ht="15.75" customHeight="1">
      <c r="A15" s="8">
        <v>14</v>
      </c>
      <c r="B15" s="17">
        <v>9</v>
      </c>
      <c r="C15" s="17">
        <v>9</v>
      </c>
      <c r="D15" s="6">
        <f t="shared" si="0"/>
        <v>1</v>
      </c>
      <c r="E15" s="7"/>
      <c r="F15" s="7"/>
      <c r="G15" s="7"/>
      <c r="H15" s="7"/>
    </row>
    <row r="16" spans="1:9" ht="15.75" customHeight="1">
      <c r="A16" s="8">
        <v>15</v>
      </c>
      <c r="B16" s="17">
        <v>10.5</v>
      </c>
      <c r="C16" s="17">
        <v>9.5</v>
      </c>
      <c r="D16" s="6">
        <f t="shared" si="0"/>
        <v>1.1052631578947369</v>
      </c>
      <c r="E16" s="7"/>
      <c r="F16" s="7"/>
      <c r="G16" s="7"/>
      <c r="H16" s="7"/>
    </row>
    <row r="17" spans="1:8" ht="15.75" customHeight="1">
      <c r="A17" s="8">
        <v>16</v>
      </c>
      <c r="B17" s="17">
        <v>12</v>
      </c>
      <c r="C17" s="17">
        <v>12</v>
      </c>
      <c r="D17" s="6">
        <f t="shared" si="0"/>
        <v>1</v>
      </c>
      <c r="E17" s="7"/>
      <c r="F17" s="7"/>
      <c r="G17" s="7"/>
      <c r="H17" s="7"/>
    </row>
    <row r="18" spans="1:8" ht="15.75" customHeight="1">
      <c r="A18" s="8">
        <v>17</v>
      </c>
      <c r="B18" s="17">
        <v>10</v>
      </c>
      <c r="C18" s="17">
        <v>10.5</v>
      </c>
      <c r="D18" s="6">
        <f t="shared" si="0"/>
        <v>0.95238095238095233</v>
      </c>
      <c r="E18" s="7"/>
      <c r="F18" s="7"/>
      <c r="G18" s="7"/>
      <c r="H18" s="7"/>
    </row>
    <row r="19" spans="1:8" ht="15.75" customHeight="1">
      <c r="A19" s="8">
        <v>18</v>
      </c>
      <c r="B19" s="17">
        <v>10</v>
      </c>
      <c r="C19" s="17">
        <v>9.5</v>
      </c>
      <c r="D19" s="6">
        <f t="shared" si="0"/>
        <v>1.0526315789473684</v>
      </c>
      <c r="E19" s="7"/>
      <c r="F19" s="7"/>
      <c r="G19" s="7"/>
      <c r="H19" s="7"/>
    </row>
    <row r="20" spans="1:8" ht="15.75" customHeight="1">
      <c r="A20" s="8">
        <v>19</v>
      </c>
      <c r="B20" s="17">
        <v>10.5</v>
      </c>
      <c r="C20" s="17">
        <v>11</v>
      </c>
      <c r="D20" s="6">
        <f t="shared" si="0"/>
        <v>0.95454545454545459</v>
      </c>
      <c r="E20" s="7"/>
      <c r="F20" s="7"/>
      <c r="G20" s="7"/>
      <c r="H20" s="7"/>
    </row>
    <row r="21" spans="1:8" ht="15.75" customHeight="1">
      <c r="A21" s="8">
        <v>20</v>
      </c>
      <c r="B21" s="17">
        <v>9.5</v>
      </c>
      <c r="C21" s="17">
        <v>9.5</v>
      </c>
      <c r="D21" s="6">
        <f t="shared" si="0"/>
        <v>1</v>
      </c>
      <c r="E21" s="7"/>
      <c r="F21" s="7"/>
      <c r="G21" s="7"/>
      <c r="H21" s="7"/>
    </row>
    <row r="22" spans="1:8" ht="15.75" customHeight="1">
      <c r="A22" s="8">
        <v>21</v>
      </c>
      <c r="B22" s="17">
        <v>11</v>
      </c>
      <c r="C22" s="17">
        <v>10</v>
      </c>
      <c r="D22" s="6">
        <f t="shared" si="0"/>
        <v>1.1000000000000001</v>
      </c>
      <c r="E22" s="7"/>
      <c r="F22" s="7"/>
      <c r="G22" s="7"/>
      <c r="H22" s="7"/>
    </row>
    <row r="23" spans="1:8" ht="15.75" customHeight="1">
      <c r="A23" s="8">
        <v>22</v>
      </c>
      <c r="B23" s="17">
        <v>10</v>
      </c>
      <c r="C23" s="17">
        <v>10</v>
      </c>
      <c r="D23" s="6">
        <f t="shared" si="0"/>
        <v>1</v>
      </c>
      <c r="E23" s="7"/>
      <c r="F23" s="7"/>
      <c r="G23" s="7"/>
      <c r="H23" s="7"/>
    </row>
    <row r="24" spans="1:8" ht="15.75" customHeight="1">
      <c r="A24" s="8">
        <v>23</v>
      </c>
      <c r="B24" s="17">
        <v>9</v>
      </c>
      <c r="C24" s="17">
        <v>9.5</v>
      </c>
      <c r="D24" s="6">
        <f t="shared" si="0"/>
        <v>0.94736842105263153</v>
      </c>
      <c r="E24" s="7"/>
      <c r="F24" s="7"/>
      <c r="G24" s="7"/>
      <c r="H24" s="7"/>
    </row>
    <row r="25" spans="1:8" ht="15.75" customHeight="1">
      <c r="A25" s="8">
        <v>24</v>
      </c>
      <c r="B25" s="17">
        <v>11</v>
      </c>
      <c r="C25" s="17">
        <v>11</v>
      </c>
      <c r="D25" s="6">
        <f t="shared" si="0"/>
        <v>1</v>
      </c>
      <c r="E25" s="7"/>
      <c r="F25" s="7"/>
      <c r="G25" s="7"/>
      <c r="H25" s="7"/>
    </row>
    <row r="26" spans="1:8" ht="15.75" customHeight="1">
      <c r="A26" s="8">
        <v>25</v>
      </c>
      <c r="B26" s="17">
        <v>9</v>
      </c>
      <c r="C26" s="17">
        <v>9</v>
      </c>
      <c r="D26" s="6">
        <f t="shared" si="0"/>
        <v>1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10</v>
      </c>
      <c r="C27" s="5">
        <f t="shared" si="1"/>
        <v>9.74</v>
      </c>
      <c r="D27" s="9">
        <f t="shared" si="1"/>
        <v>1.0292698166986092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9</v>
      </c>
      <c r="C28" s="5">
        <f t="shared" si="2"/>
        <v>8</v>
      </c>
      <c r="D28" s="9">
        <f t="shared" si="2"/>
        <v>0.94736842105263153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12</v>
      </c>
      <c r="C29" s="5">
        <f t="shared" si="3"/>
        <v>12</v>
      </c>
      <c r="D29" s="9">
        <f t="shared" si="3"/>
        <v>1.1875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58</v>
      </c>
      <c r="C33" s="17">
        <v>15.5</v>
      </c>
      <c r="D33" s="13">
        <v>4</v>
      </c>
      <c r="E33" s="17">
        <v>5</v>
      </c>
      <c r="F33" s="7"/>
      <c r="G33" s="7"/>
      <c r="H33" s="7"/>
    </row>
    <row r="34" spans="1:8" ht="15.75" customHeight="1">
      <c r="A34" s="4">
        <v>2</v>
      </c>
      <c r="B34" s="17">
        <v>59</v>
      </c>
      <c r="C34" s="17">
        <v>12.5</v>
      </c>
      <c r="D34" s="13">
        <v>4</v>
      </c>
      <c r="E34" s="17">
        <v>4</v>
      </c>
      <c r="F34" s="7"/>
      <c r="G34" s="7"/>
      <c r="H34" s="7"/>
    </row>
    <row r="35" spans="1:8" ht="15.75" customHeight="1">
      <c r="A35" s="4">
        <v>3</v>
      </c>
      <c r="B35" s="17">
        <v>43</v>
      </c>
      <c r="C35" s="17">
        <v>15</v>
      </c>
      <c r="D35" s="13">
        <v>4</v>
      </c>
      <c r="E35" s="7"/>
      <c r="F35" s="7"/>
      <c r="G35" s="7"/>
      <c r="H35" s="7"/>
    </row>
    <row r="36" spans="1:8" ht="15.75" customHeight="1">
      <c r="A36" s="4">
        <v>4</v>
      </c>
      <c r="B36" s="17">
        <v>47</v>
      </c>
      <c r="C36" s="17">
        <v>16</v>
      </c>
      <c r="D36" s="13">
        <v>4</v>
      </c>
      <c r="E36" s="17">
        <v>5</v>
      </c>
      <c r="F36" s="7"/>
      <c r="G36" s="7"/>
      <c r="H36" s="7"/>
    </row>
    <row r="37" spans="1:8" ht="15.75" customHeight="1">
      <c r="A37" s="4">
        <v>5</v>
      </c>
      <c r="B37" s="17">
        <v>44</v>
      </c>
      <c r="C37" s="17">
        <v>14.5</v>
      </c>
      <c r="D37" s="13">
        <v>4</v>
      </c>
      <c r="E37" s="17">
        <v>5.5</v>
      </c>
      <c r="F37" s="7"/>
      <c r="G37" s="7"/>
      <c r="H37" s="7"/>
    </row>
    <row r="38" spans="1:8" ht="15.75" customHeight="1">
      <c r="A38" s="4">
        <v>6</v>
      </c>
      <c r="B38" s="17">
        <v>47</v>
      </c>
      <c r="C38" s="17">
        <v>13</v>
      </c>
      <c r="D38" s="13">
        <v>4</v>
      </c>
      <c r="E38" s="17">
        <v>4</v>
      </c>
      <c r="F38" s="7"/>
      <c r="G38" s="7"/>
      <c r="H38" s="7"/>
    </row>
    <row r="39" spans="1:8" ht="15.75" customHeight="1">
      <c r="A39" s="4">
        <v>7</v>
      </c>
      <c r="B39" s="17">
        <v>49.5</v>
      </c>
      <c r="C39" s="17">
        <v>16</v>
      </c>
      <c r="D39" s="13">
        <v>4</v>
      </c>
      <c r="E39" s="17">
        <v>4</v>
      </c>
      <c r="F39" s="7"/>
      <c r="G39" s="7"/>
      <c r="H39" s="7"/>
    </row>
    <row r="40" spans="1:8" ht="15.75" customHeight="1">
      <c r="A40" s="4">
        <v>8</v>
      </c>
      <c r="B40" s="17">
        <v>52.5</v>
      </c>
      <c r="C40" s="17">
        <v>16</v>
      </c>
      <c r="D40" s="13">
        <v>2</v>
      </c>
      <c r="E40" s="17">
        <v>6</v>
      </c>
      <c r="F40" s="7"/>
      <c r="G40" s="7"/>
      <c r="H40" s="7"/>
    </row>
    <row r="41" spans="1:8" ht="15.75" customHeight="1">
      <c r="A41" s="4">
        <v>9</v>
      </c>
      <c r="B41" s="17">
        <v>38.5</v>
      </c>
      <c r="C41" s="17">
        <v>13</v>
      </c>
      <c r="D41" s="13">
        <v>4</v>
      </c>
      <c r="E41" s="17">
        <v>5</v>
      </c>
      <c r="F41" s="7"/>
      <c r="G41" s="7"/>
      <c r="H41" s="7"/>
    </row>
    <row r="42" spans="1:8" ht="15.75" customHeight="1">
      <c r="A42" s="4">
        <v>10</v>
      </c>
      <c r="B42" s="17">
        <v>50</v>
      </c>
      <c r="C42" s="17">
        <v>14.5</v>
      </c>
      <c r="D42" s="13">
        <v>4</v>
      </c>
      <c r="E42" s="17">
        <v>6.5</v>
      </c>
      <c r="F42" s="7"/>
      <c r="G42" s="7"/>
      <c r="H42" s="7"/>
    </row>
    <row r="43" spans="1:8" ht="15.75" customHeight="1">
      <c r="A43" s="8">
        <v>11</v>
      </c>
      <c r="B43" s="17">
        <v>48</v>
      </c>
      <c r="C43" s="17">
        <v>12.5</v>
      </c>
      <c r="D43" s="13">
        <v>4</v>
      </c>
      <c r="E43" s="17">
        <v>5.5</v>
      </c>
      <c r="F43" s="7"/>
      <c r="G43" s="7"/>
      <c r="H43" s="7"/>
    </row>
    <row r="44" spans="1:8" ht="15.75" customHeight="1">
      <c r="A44" s="8">
        <v>12</v>
      </c>
      <c r="B44" s="1">
        <v>46</v>
      </c>
      <c r="C44" s="1">
        <v>16</v>
      </c>
      <c r="D44" s="12">
        <v>4</v>
      </c>
      <c r="E44" s="1">
        <v>5.5</v>
      </c>
      <c r="F44" s="7"/>
      <c r="G44" s="7"/>
      <c r="H44" s="7"/>
    </row>
    <row r="45" spans="1:8" ht="15.75" customHeight="1">
      <c r="A45" s="8">
        <v>13</v>
      </c>
      <c r="B45" s="1">
        <v>43</v>
      </c>
      <c r="C45" s="1">
        <v>14.5</v>
      </c>
      <c r="D45" s="12">
        <v>4</v>
      </c>
      <c r="E45" s="1">
        <v>4.5</v>
      </c>
      <c r="F45" s="7"/>
      <c r="G45" s="7"/>
      <c r="H45" s="7"/>
    </row>
    <row r="46" spans="1:8" ht="15.75" customHeight="1">
      <c r="A46" s="8">
        <v>14</v>
      </c>
      <c r="B46" s="1">
        <v>39</v>
      </c>
      <c r="C46" s="1">
        <v>14</v>
      </c>
      <c r="D46" s="12">
        <v>4</v>
      </c>
      <c r="E46" s="1">
        <v>5.5</v>
      </c>
      <c r="F46" s="7"/>
      <c r="G46" s="7"/>
      <c r="H46" s="7"/>
    </row>
    <row r="47" spans="1:8" ht="15.75" customHeight="1">
      <c r="A47" s="8">
        <v>15</v>
      </c>
      <c r="B47" s="1">
        <v>37.5</v>
      </c>
      <c r="C47" s="1">
        <v>15</v>
      </c>
      <c r="D47" s="12">
        <v>3</v>
      </c>
      <c r="E47" s="1">
        <v>6</v>
      </c>
      <c r="F47" s="7"/>
      <c r="G47" s="7"/>
      <c r="H47" s="7"/>
    </row>
    <row r="48" spans="1:8" ht="15.75" customHeight="1">
      <c r="A48" s="8">
        <v>16</v>
      </c>
      <c r="D48" s="12">
        <v>2</v>
      </c>
      <c r="F48" s="7"/>
      <c r="G48" s="7"/>
      <c r="H48" s="14" t="s">
        <v>263</v>
      </c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46.8</v>
      </c>
      <c r="C58" s="5">
        <f t="shared" si="4"/>
        <v>14.533333333333333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37.5</v>
      </c>
      <c r="C59" s="5">
        <f t="shared" si="5"/>
        <v>12.5</v>
      </c>
      <c r="D59" s="11">
        <f t="shared" si="5"/>
        <v>2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59</v>
      </c>
      <c r="C60" s="5">
        <f t="shared" si="6"/>
        <v>16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19">
        <v>1</v>
      </c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 t="s">
        <v>72</v>
      </c>
      <c r="C71" s="7"/>
      <c r="D71" s="10"/>
      <c r="E71" s="7"/>
      <c r="F71" s="7"/>
      <c r="G71" s="7"/>
      <c r="H71" s="7"/>
    </row>
    <row r="72" spans="1:8" ht="14">
      <c r="A72" s="15" t="s">
        <v>264</v>
      </c>
      <c r="B72" s="1" t="s">
        <v>265</v>
      </c>
    </row>
    <row r="73" spans="1:8" ht="14">
      <c r="A73" s="2"/>
    </row>
    <row r="74" spans="1:8" ht="14">
      <c r="A74" s="2"/>
    </row>
  </sheetData>
  <mergeCells count="1">
    <mergeCell ref="D62:E6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I74"/>
  <sheetViews>
    <sheetView workbookViewId="0"/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10.5</v>
      </c>
      <c r="C2" s="17">
        <v>8</v>
      </c>
      <c r="D2" s="6">
        <f t="shared" ref="D2:D26" si="0">B2/C2</f>
        <v>1.3125</v>
      </c>
      <c r="E2" s="7"/>
      <c r="F2" s="7"/>
      <c r="G2" s="14" t="s">
        <v>35</v>
      </c>
      <c r="H2" s="7"/>
    </row>
    <row r="3" spans="1:8" ht="15.75" customHeight="1">
      <c r="A3" s="4">
        <v>2</v>
      </c>
      <c r="B3" s="17">
        <v>9</v>
      </c>
      <c r="C3" s="17">
        <v>7.5</v>
      </c>
      <c r="D3" s="6">
        <f t="shared" si="0"/>
        <v>1.2</v>
      </c>
      <c r="E3" s="7"/>
      <c r="F3" s="7"/>
      <c r="G3" s="7"/>
      <c r="H3" s="7"/>
    </row>
    <row r="4" spans="1:8" ht="15.75" customHeight="1">
      <c r="A4" s="4">
        <v>3</v>
      </c>
      <c r="B4" s="17">
        <v>10</v>
      </c>
      <c r="C4" s="17">
        <v>7.5</v>
      </c>
      <c r="D4" s="6">
        <f t="shared" si="0"/>
        <v>1.3333333333333333</v>
      </c>
      <c r="E4" s="7"/>
      <c r="F4" s="7"/>
      <c r="G4" s="7"/>
      <c r="H4" s="7"/>
    </row>
    <row r="5" spans="1:8" ht="15.75" customHeight="1">
      <c r="A5" s="4">
        <v>4</v>
      </c>
      <c r="B5" s="17">
        <v>10</v>
      </c>
      <c r="C5" s="17">
        <v>7.5</v>
      </c>
      <c r="D5" s="6">
        <f t="shared" si="0"/>
        <v>1.3333333333333333</v>
      </c>
      <c r="E5" s="7"/>
      <c r="F5" s="7"/>
      <c r="G5" s="7"/>
      <c r="H5" s="7"/>
    </row>
    <row r="6" spans="1:8" ht="15.75" customHeight="1">
      <c r="A6" s="4">
        <v>5</v>
      </c>
      <c r="B6" s="17">
        <v>9.5</v>
      </c>
      <c r="C6" s="17">
        <v>8</v>
      </c>
      <c r="D6" s="6">
        <f t="shared" si="0"/>
        <v>1.1875</v>
      </c>
      <c r="E6" s="7"/>
      <c r="F6" s="7"/>
      <c r="G6" s="7"/>
      <c r="H6" s="7"/>
    </row>
    <row r="7" spans="1:8" ht="15.75" customHeight="1">
      <c r="A7" s="4">
        <v>6</v>
      </c>
      <c r="B7" s="17">
        <v>10</v>
      </c>
      <c r="C7" s="17">
        <v>7.5</v>
      </c>
      <c r="D7" s="6">
        <f t="shared" si="0"/>
        <v>1.3333333333333333</v>
      </c>
      <c r="E7" s="7"/>
      <c r="F7" s="7"/>
      <c r="G7" s="7"/>
      <c r="H7" s="7"/>
    </row>
    <row r="8" spans="1:8" ht="15.75" customHeight="1">
      <c r="A8" s="4">
        <v>7</v>
      </c>
      <c r="B8" s="17">
        <v>8</v>
      </c>
      <c r="C8" s="17">
        <v>7</v>
      </c>
      <c r="D8" s="6">
        <f t="shared" si="0"/>
        <v>1.1428571428571428</v>
      </c>
      <c r="E8" s="7"/>
      <c r="F8" s="7"/>
      <c r="G8" s="7"/>
      <c r="H8" s="7"/>
    </row>
    <row r="9" spans="1:8" ht="15.75" customHeight="1">
      <c r="A9" s="4">
        <v>8</v>
      </c>
      <c r="B9" s="17">
        <v>9.5</v>
      </c>
      <c r="C9" s="17">
        <v>6.5</v>
      </c>
      <c r="D9" s="6">
        <f t="shared" si="0"/>
        <v>1.4615384615384615</v>
      </c>
      <c r="E9" s="7"/>
      <c r="F9" s="7"/>
      <c r="G9" s="7"/>
      <c r="H9" s="7"/>
    </row>
    <row r="10" spans="1:8" ht="15.75" customHeight="1">
      <c r="A10" s="4">
        <v>9</v>
      </c>
      <c r="B10" s="17">
        <v>10</v>
      </c>
      <c r="C10" s="17">
        <v>8</v>
      </c>
      <c r="D10" s="6">
        <f t="shared" si="0"/>
        <v>1.25</v>
      </c>
      <c r="E10" s="7"/>
      <c r="F10" s="7"/>
      <c r="G10" s="7"/>
      <c r="H10" s="7"/>
    </row>
    <row r="11" spans="1:8" ht="15.75" customHeight="1">
      <c r="A11" s="4">
        <v>10</v>
      </c>
      <c r="B11" s="17">
        <v>10</v>
      </c>
      <c r="C11" s="17">
        <v>8</v>
      </c>
      <c r="D11" s="6">
        <f t="shared" si="0"/>
        <v>1.25</v>
      </c>
      <c r="E11" s="7"/>
      <c r="F11" s="7"/>
      <c r="G11" s="7"/>
      <c r="H11" s="7"/>
    </row>
    <row r="12" spans="1:8" ht="15.75" customHeight="1">
      <c r="A12" s="8">
        <v>11</v>
      </c>
      <c r="B12" s="17">
        <v>9</v>
      </c>
      <c r="C12" s="17">
        <v>7</v>
      </c>
      <c r="D12" s="6">
        <f t="shared" si="0"/>
        <v>1.2857142857142858</v>
      </c>
      <c r="E12" s="7"/>
      <c r="F12" s="7"/>
      <c r="G12" s="7"/>
      <c r="H12" s="7"/>
    </row>
    <row r="13" spans="1:8" ht="15.75" customHeight="1">
      <c r="A13" s="8">
        <v>12</v>
      </c>
      <c r="B13" s="17">
        <v>10.5</v>
      </c>
      <c r="C13" s="17">
        <v>8</v>
      </c>
      <c r="D13" s="6">
        <f t="shared" si="0"/>
        <v>1.3125</v>
      </c>
      <c r="E13" s="7"/>
      <c r="F13" s="7"/>
      <c r="G13" s="7"/>
      <c r="H13" s="7"/>
    </row>
    <row r="14" spans="1:8" ht="15.75" customHeight="1">
      <c r="A14" s="8">
        <v>13</v>
      </c>
      <c r="B14" s="17">
        <v>10</v>
      </c>
      <c r="C14" s="17">
        <v>7.5</v>
      </c>
      <c r="D14" s="6">
        <f t="shared" si="0"/>
        <v>1.3333333333333333</v>
      </c>
      <c r="E14" s="7"/>
      <c r="F14" s="7"/>
      <c r="G14" s="7"/>
      <c r="H14" s="7"/>
    </row>
    <row r="15" spans="1:8" ht="15.75" customHeight="1">
      <c r="A15" s="8">
        <v>14</v>
      </c>
      <c r="B15" s="17">
        <v>9.5</v>
      </c>
      <c r="C15" s="17">
        <v>8</v>
      </c>
      <c r="D15" s="6">
        <f t="shared" si="0"/>
        <v>1.1875</v>
      </c>
      <c r="E15" s="7"/>
      <c r="F15" s="7"/>
      <c r="G15" s="7"/>
      <c r="H15" s="7"/>
    </row>
    <row r="16" spans="1:8" ht="15.75" customHeight="1">
      <c r="A16" s="8">
        <v>15</v>
      </c>
      <c r="B16" s="17">
        <v>9</v>
      </c>
      <c r="C16" s="17">
        <v>8</v>
      </c>
      <c r="D16" s="6">
        <f t="shared" si="0"/>
        <v>1.125</v>
      </c>
      <c r="E16" s="7"/>
      <c r="F16" s="7"/>
      <c r="G16" s="7"/>
      <c r="H16" s="7"/>
    </row>
    <row r="17" spans="1:8" ht="15.75" customHeight="1">
      <c r="A17" s="8">
        <v>16</v>
      </c>
      <c r="B17" s="17">
        <v>9</v>
      </c>
      <c r="C17" s="17">
        <v>8</v>
      </c>
      <c r="D17" s="6">
        <f t="shared" si="0"/>
        <v>1.125</v>
      </c>
      <c r="E17" s="7"/>
      <c r="F17" s="7"/>
      <c r="G17" s="7"/>
      <c r="H17" s="7"/>
    </row>
    <row r="18" spans="1:8" ht="15.75" customHeight="1">
      <c r="A18" s="8">
        <v>17</v>
      </c>
      <c r="B18" s="17">
        <v>10</v>
      </c>
      <c r="C18" s="17">
        <v>8</v>
      </c>
      <c r="D18" s="6">
        <f t="shared" si="0"/>
        <v>1.25</v>
      </c>
      <c r="E18" s="7"/>
      <c r="F18" s="7"/>
      <c r="G18" s="7"/>
      <c r="H18" s="7"/>
    </row>
    <row r="19" spans="1:8" ht="15.75" customHeight="1">
      <c r="A19" s="8">
        <v>18</v>
      </c>
      <c r="B19" s="17">
        <v>10</v>
      </c>
      <c r="C19" s="17">
        <v>7.5</v>
      </c>
      <c r="D19" s="6">
        <f t="shared" si="0"/>
        <v>1.3333333333333333</v>
      </c>
      <c r="E19" s="7"/>
      <c r="F19" s="7"/>
      <c r="G19" s="7"/>
      <c r="H19" s="7"/>
    </row>
    <row r="20" spans="1:8" ht="15.75" customHeight="1">
      <c r="A20" s="8">
        <v>19</v>
      </c>
      <c r="B20" s="17">
        <v>10</v>
      </c>
      <c r="C20" s="17">
        <v>8</v>
      </c>
      <c r="D20" s="6">
        <f t="shared" si="0"/>
        <v>1.25</v>
      </c>
      <c r="E20" s="7"/>
      <c r="F20" s="7"/>
      <c r="G20" s="7"/>
      <c r="H20" s="7"/>
    </row>
    <row r="21" spans="1:8" ht="15.75" customHeight="1">
      <c r="A21" s="8">
        <v>20</v>
      </c>
      <c r="B21" s="17">
        <v>10</v>
      </c>
      <c r="C21" s="17">
        <v>7.5</v>
      </c>
      <c r="D21" s="6">
        <f t="shared" si="0"/>
        <v>1.3333333333333333</v>
      </c>
      <c r="E21" s="7"/>
      <c r="F21" s="7"/>
      <c r="G21" s="7"/>
      <c r="H21" s="7"/>
    </row>
    <row r="22" spans="1:8" ht="15.75" customHeight="1">
      <c r="A22" s="8">
        <v>21</v>
      </c>
      <c r="B22" s="17">
        <v>9.5</v>
      </c>
      <c r="C22" s="17">
        <v>9</v>
      </c>
      <c r="D22" s="6">
        <f t="shared" si="0"/>
        <v>1.0555555555555556</v>
      </c>
      <c r="E22" s="7"/>
      <c r="F22" s="7"/>
      <c r="G22" s="7"/>
      <c r="H22" s="7"/>
    </row>
    <row r="23" spans="1:8" ht="15.75" customHeight="1">
      <c r="A23" s="8">
        <v>22</v>
      </c>
      <c r="B23" s="17">
        <v>10</v>
      </c>
      <c r="C23" s="17">
        <v>7</v>
      </c>
      <c r="D23" s="6">
        <f t="shared" si="0"/>
        <v>1.4285714285714286</v>
      </c>
      <c r="E23" s="7"/>
      <c r="F23" s="7"/>
      <c r="G23" s="7"/>
      <c r="H23" s="7"/>
    </row>
    <row r="24" spans="1:8" ht="15.75" customHeight="1">
      <c r="A24" s="8">
        <v>23</v>
      </c>
      <c r="B24" s="17">
        <v>8.5</v>
      </c>
      <c r="C24" s="17">
        <v>7</v>
      </c>
      <c r="D24" s="6">
        <f t="shared" si="0"/>
        <v>1.2142857142857142</v>
      </c>
      <c r="E24" s="7"/>
      <c r="F24" s="7"/>
      <c r="G24" s="7"/>
      <c r="H24" s="7"/>
    </row>
    <row r="25" spans="1:8" ht="15.75" customHeight="1">
      <c r="A25" s="8">
        <v>24</v>
      </c>
      <c r="B25" s="17">
        <v>9</v>
      </c>
      <c r="C25" s="17">
        <v>7.5</v>
      </c>
      <c r="D25" s="6">
        <f t="shared" si="0"/>
        <v>1.2</v>
      </c>
      <c r="E25" s="7"/>
      <c r="F25" s="7"/>
      <c r="G25" s="7"/>
      <c r="H25" s="7"/>
    </row>
    <row r="26" spans="1:8" ht="15.75" customHeight="1">
      <c r="A26" s="8">
        <v>25</v>
      </c>
      <c r="B26" s="17">
        <v>10</v>
      </c>
      <c r="C26" s="17">
        <v>8</v>
      </c>
      <c r="D26" s="6">
        <f t="shared" si="0"/>
        <v>1.25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9.6199999999999992</v>
      </c>
      <c r="C27" s="5">
        <f t="shared" si="1"/>
        <v>7.66</v>
      </c>
      <c r="D27" s="9">
        <f t="shared" si="1"/>
        <v>1.2595409035409033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8</v>
      </c>
      <c r="C28" s="5">
        <f t="shared" si="2"/>
        <v>6.5</v>
      </c>
      <c r="D28" s="9">
        <f t="shared" si="2"/>
        <v>1.0555555555555556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10.5</v>
      </c>
      <c r="C29" s="5">
        <f t="shared" si="3"/>
        <v>9</v>
      </c>
      <c r="D29" s="9">
        <f t="shared" si="3"/>
        <v>1.4615384615384615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9" ht="15.75" customHeight="1">
      <c r="A33" s="4">
        <v>1</v>
      </c>
      <c r="B33" s="17">
        <v>50</v>
      </c>
      <c r="C33" s="17">
        <v>13</v>
      </c>
      <c r="D33" s="13">
        <v>4</v>
      </c>
      <c r="E33" s="17">
        <v>3</v>
      </c>
      <c r="F33" s="7"/>
      <c r="G33" s="7"/>
      <c r="H33" s="14" t="s">
        <v>266</v>
      </c>
      <c r="I33" s="1" t="s">
        <v>267</v>
      </c>
    </row>
    <row r="34" spans="1:9" ht="15.75" customHeight="1">
      <c r="A34" s="4">
        <v>2</v>
      </c>
      <c r="B34" s="17">
        <v>51</v>
      </c>
      <c r="C34" s="17">
        <v>11</v>
      </c>
      <c r="D34" s="13">
        <v>4</v>
      </c>
      <c r="E34" s="17">
        <v>4</v>
      </c>
      <c r="F34" s="7"/>
      <c r="G34" s="7"/>
      <c r="H34" s="14" t="s">
        <v>268</v>
      </c>
      <c r="I34" s="1" t="s">
        <v>269</v>
      </c>
    </row>
    <row r="35" spans="1:9" ht="15.75" customHeight="1">
      <c r="A35" s="4">
        <v>3</v>
      </c>
      <c r="B35" s="17">
        <v>41.5</v>
      </c>
      <c r="C35" s="17">
        <v>12</v>
      </c>
      <c r="D35" s="13">
        <v>2</v>
      </c>
      <c r="E35" s="14">
        <v>4</v>
      </c>
      <c r="F35" s="7"/>
      <c r="G35" s="7"/>
      <c r="H35" s="7"/>
    </row>
    <row r="36" spans="1:9" ht="15.75" customHeight="1">
      <c r="A36" s="4">
        <v>4</v>
      </c>
      <c r="B36" s="17">
        <v>52</v>
      </c>
      <c r="C36" s="17">
        <v>11.5</v>
      </c>
      <c r="D36" s="13">
        <v>2</v>
      </c>
      <c r="E36" s="17">
        <v>3.5</v>
      </c>
      <c r="F36" s="7"/>
      <c r="G36" s="7"/>
      <c r="H36" s="7"/>
    </row>
    <row r="37" spans="1:9" ht="15.75" customHeight="1">
      <c r="A37" s="4">
        <v>5</v>
      </c>
      <c r="B37" s="17">
        <v>47</v>
      </c>
      <c r="C37" s="17">
        <v>10</v>
      </c>
      <c r="D37" s="13">
        <v>2</v>
      </c>
      <c r="E37" s="17" t="s">
        <v>134</v>
      </c>
      <c r="F37" s="7"/>
      <c r="G37" s="7"/>
      <c r="H37" s="7"/>
    </row>
    <row r="38" spans="1:9" ht="15.75" customHeight="1">
      <c r="A38" s="4">
        <v>6</v>
      </c>
      <c r="B38" s="17">
        <v>50.5</v>
      </c>
      <c r="C38" s="17">
        <v>13.5</v>
      </c>
      <c r="D38" s="13">
        <v>2</v>
      </c>
      <c r="E38" s="17">
        <v>10</v>
      </c>
      <c r="F38" s="7"/>
      <c r="G38" s="7"/>
      <c r="H38" s="7"/>
    </row>
    <row r="39" spans="1:9" ht="15.75" customHeight="1">
      <c r="A39" s="4">
        <v>7</v>
      </c>
      <c r="B39" s="17">
        <v>51</v>
      </c>
      <c r="C39" s="17">
        <v>12</v>
      </c>
      <c r="D39" s="13">
        <v>4</v>
      </c>
      <c r="E39" s="17">
        <v>2.5</v>
      </c>
      <c r="F39" s="7"/>
      <c r="G39" s="7"/>
      <c r="H39" s="7"/>
    </row>
    <row r="40" spans="1:9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9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9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9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9" ht="15.75" customHeight="1">
      <c r="A44" s="8">
        <v>12</v>
      </c>
      <c r="D44" s="12"/>
      <c r="F44" s="7"/>
      <c r="G44" s="7"/>
      <c r="H44" s="7"/>
    </row>
    <row r="45" spans="1:9" ht="15.75" customHeight="1">
      <c r="A45" s="8">
        <v>13</v>
      </c>
      <c r="D45" s="12"/>
      <c r="F45" s="7"/>
      <c r="G45" s="7"/>
      <c r="H45" s="7"/>
    </row>
    <row r="46" spans="1:9" ht="15.75" customHeight="1">
      <c r="A46" s="8">
        <v>14</v>
      </c>
      <c r="D46" s="12"/>
      <c r="F46" s="7"/>
      <c r="G46" s="7"/>
      <c r="H46" s="7"/>
    </row>
    <row r="47" spans="1:9" ht="15.75" customHeight="1">
      <c r="A47" s="8">
        <v>15</v>
      </c>
      <c r="D47" s="12"/>
      <c r="F47" s="7"/>
      <c r="G47" s="7"/>
      <c r="H47" s="7"/>
    </row>
    <row r="48" spans="1:9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>
        <v>2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2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49</v>
      </c>
      <c r="C58" s="5">
        <f t="shared" si="4"/>
        <v>11.857142857142858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41.5</v>
      </c>
      <c r="C59" s="5">
        <f t="shared" si="5"/>
        <v>10</v>
      </c>
      <c r="D59" s="11">
        <f t="shared" si="5"/>
        <v>2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52</v>
      </c>
      <c r="C60" s="5">
        <f t="shared" si="6"/>
        <v>13.5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  <c r="F62" s="1" t="s">
        <v>270</v>
      </c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2"/>
    </row>
    <row r="73" spans="1:8" ht="14">
      <c r="A73" s="15" t="s">
        <v>271</v>
      </c>
      <c r="B73" s="1" t="s">
        <v>272</v>
      </c>
    </row>
    <row r="74" spans="1:8" ht="14">
      <c r="A74" s="2"/>
    </row>
  </sheetData>
  <mergeCells count="1">
    <mergeCell ref="D62:E6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H1006"/>
  <sheetViews>
    <sheetView workbookViewId="0"/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7.5</v>
      </c>
      <c r="C2" s="17">
        <v>7</v>
      </c>
      <c r="D2" s="6">
        <f t="shared" ref="D2:D26" si="0">B2/C2</f>
        <v>1.0714285714285714</v>
      </c>
      <c r="E2" s="14" t="s">
        <v>29</v>
      </c>
      <c r="F2" s="7"/>
      <c r="G2" s="14" t="s">
        <v>261</v>
      </c>
      <c r="H2" s="7"/>
    </row>
    <row r="3" spans="1:8" ht="15.75" customHeight="1">
      <c r="A3" s="4">
        <v>2</v>
      </c>
      <c r="B3" s="17">
        <v>8</v>
      </c>
      <c r="C3" s="17">
        <v>8.5</v>
      </c>
      <c r="D3" s="6">
        <f t="shared" si="0"/>
        <v>0.94117647058823528</v>
      </c>
      <c r="E3" s="7"/>
      <c r="F3" s="7"/>
      <c r="G3" s="7"/>
      <c r="H3" s="7"/>
    </row>
    <row r="4" spans="1:8" ht="15.75" customHeight="1">
      <c r="A4" s="4">
        <v>3</v>
      </c>
      <c r="B4" s="17">
        <v>8.5</v>
      </c>
      <c r="C4" s="17">
        <v>8.5</v>
      </c>
      <c r="D4" s="6">
        <f t="shared" si="0"/>
        <v>1</v>
      </c>
      <c r="E4" s="7"/>
      <c r="F4" s="7"/>
      <c r="G4" s="7"/>
      <c r="H4" s="7"/>
    </row>
    <row r="5" spans="1:8" ht="15.75" customHeight="1">
      <c r="A5" s="4">
        <v>4</v>
      </c>
      <c r="B5" s="17">
        <v>9</v>
      </c>
      <c r="C5" s="17">
        <v>8.5</v>
      </c>
      <c r="D5" s="6">
        <f t="shared" si="0"/>
        <v>1.0588235294117647</v>
      </c>
      <c r="E5" s="7"/>
      <c r="F5" s="7"/>
      <c r="G5" s="7"/>
      <c r="H5" s="7"/>
    </row>
    <row r="6" spans="1:8" ht="15.75" customHeight="1">
      <c r="A6" s="4">
        <v>5</v>
      </c>
      <c r="B6" s="17">
        <v>8.5</v>
      </c>
      <c r="C6" s="17">
        <v>8.5</v>
      </c>
      <c r="D6" s="6">
        <f t="shared" si="0"/>
        <v>1</v>
      </c>
      <c r="E6" s="7"/>
      <c r="F6" s="7"/>
      <c r="G6" s="7"/>
      <c r="H6" s="7"/>
    </row>
    <row r="7" spans="1:8" ht="15.75" customHeight="1">
      <c r="A7" s="4">
        <v>6</v>
      </c>
      <c r="B7" s="17">
        <v>8</v>
      </c>
      <c r="C7" s="17">
        <v>8</v>
      </c>
      <c r="D7" s="6">
        <f t="shared" si="0"/>
        <v>1</v>
      </c>
      <c r="E7" s="7"/>
      <c r="F7" s="7"/>
      <c r="G7" s="7"/>
      <c r="H7" s="7"/>
    </row>
    <row r="8" spans="1:8" ht="15.75" customHeight="1">
      <c r="A8" s="4">
        <v>7</v>
      </c>
      <c r="B8" s="17">
        <v>6</v>
      </c>
      <c r="C8" s="17">
        <v>6</v>
      </c>
      <c r="D8" s="6">
        <f t="shared" si="0"/>
        <v>1</v>
      </c>
      <c r="E8" s="7"/>
      <c r="F8" s="7"/>
      <c r="G8" s="7"/>
      <c r="H8" s="7"/>
    </row>
    <row r="9" spans="1:8" ht="15.75" customHeight="1">
      <c r="A9" s="4">
        <v>8</v>
      </c>
      <c r="B9" s="17">
        <v>8.5</v>
      </c>
      <c r="C9" s="17">
        <v>8.5</v>
      </c>
      <c r="D9" s="6">
        <f t="shared" si="0"/>
        <v>1</v>
      </c>
      <c r="E9" s="7"/>
      <c r="F9" s="7"/>
      <c r="G9" s="7"/>
      <c r="H9" s="7"/>
    </row>
    <row r="10" spans="1:8" ht="15.75" customHeight="1">
      <c r="A10" s="4">
        <v>9</v>
      </c>
      <c r="B10" s="17">
        <v>8.5</v>
      </c>
      <c r="C10" s="17">
        <v>9</v>
      </c>
      <c r="D10" s="6">
        <f t="shared" si="0"/>
        <v>0.94444444444444442</v>
      </c>
      <c r="E10" s="7"/>
      <c r="F10" s="7"/>
      <c r="G10" s="7"/>
      <c r="H10" s="7"/>
    </row>
    <row r="11" spans="1:8" ht="15.75" customHeight="1">
      <c r="A11" s="4">
        <v>10</v>
      </c>
      <c r="B11" s="17">
        <v>9.5</v>
      </c>
      <c r="C11" s="17">
        <v>9</v>
      </c>
      <c r="D11" s="6">
        <f t="shared" si="0"/>
        <v>1.0555555555555556</v>
      </c>
      <c r="E11" s="7"/>
      <c r="F11" s="7"/>
      <c r="G11" s="7"/>
      <c r="H11" s="7"/>
    </row>
    <row r="12" spans="1:8" ht="15.75" customHeight="1">
      <c r="A12" s="8">
        <v>11</v>
      </c>
      <c r="B12" s="17">
        <v>9</v>
      </c>
      <c r="C12" s="17">
        <v>9</v>
      </c>
      <c r="D12" s="6">
        <f t="shared" si="0"/>
        <v>1</v>
      </c>
      <c r="E12" s="7"/>
      <c r="F12" s="7"/>
      <c r="G12" s="7"/>
      <c r="H12" s="7"/>
    </row>
    <row r="13" spans="1:8" ht="15.75" customHeight="1">
      <c r="A13" s="8">
        <v>12</v>
      </c>
      <c r="B13" s="17">
        <v>8</v>
      </c>
      <c r="C13" s="17">
        <v>8.5</v>
      </c>
      <c r="D13" s="6">
        <f t="shared" si="0"/>
        <v>0.94117647058823528</v>
      </c>
      <c r="E13" s="7"/>
      <c r="F13" s="7"/>
      <c r="G13" s="7"/>
      <c r="H13" s="7"/>
    </row>
    <row r="14" spans="1:8" ht="15.75" customHeight="1">
      <c r="A14" s="8">
        <v>13</v>
      </c>
      <c r="B14" s="17">
        <v>10</v>
      </c>
      <c r="C14" s="17">
        <v>10</v>
      </c>
      <c r="D14" s="6">
        <f t="shared" si="0"/>
        <v>1</v>
      </c>
      <c r="E14" s="7"/>
      <c r="F14" s="7"/>
      <c r="G14" s="7"/>
      <c r="H14" s="7"/>
    </row>
    <row r="15" spans="1:8" ht="15.75" customHeight="1">
      <c r="A15" s="8">
        <v>14</v>
      </c>
      <c r="B15" s="17">
        <v>9</v>
      </c>
      <c r="C15" s="17">
        <v>8.5</v>
      </c>
      <c r="D15" s="6">
        <f t="shared" si="0"/>
        <v>1.0588235294117647</v>
      </c>
      <c r="E15" s="7"/>
      <c r="F15" s="7"/>
      <c r="G15" s="7"/>
      <c r="H15" s="7"/>
    </row>
    <row r="16" spans="1:8" ht="15.75" customHeight="1">
      <c r="A16" s="8">
        <v>15</v>
      </c>
      <c r="B16" s="17">
        <v>8.5</v>
      </c>
      <c r="C16" s="17">
        <v>9</v>
      </c>
      <c r="D16" s="6">
        <f t="shared" si="0"/>
        <v>0.94444444444444442</v>
      </c>
      <c r="E16" s="7"/>
      <c r="F16" s="7"/>
      <c r="G16" s="7"/>
      <c r="H16" s="7"/>
    </row>
    <row r="17" spans="1:8" ht="15.75" customHeight="1">
      <c r="A17" s="8">
        <v>16</v>
      </c>
      <c r="B17" s="17">
        <v>8.5</v>
      </c>
      <c r="C17" s="17">
        <v>8</v>
      </c>
      <c r="D17" s="6">
        <f t="shared" si="0"/>
        <v>1.0625</v>
      </c>
      <c r="E17" s="7"/>
      <c r="F17" s="7"/>
      <c r="G17" s="7"/>
      <c r="H17" s="7"/>
    </row>
    <row r="18" spans="1:8" ht="15.75" customHeight="1">
      <c r="A18" s="8">
        <v>17</v>
      </c>
      <c r="B18" s="17">
        <v>9.5</v>
      </c>
      <c r="C18" s="17">
        <v>9.5</v>
      </c>
      <c r="D18" s="6">
        <f t="shared" si="0"/>
        <v>1</v>
      </c>
      <c r="E18" s="7"/>
      <c r="F18" s="7"/>
      <c r="G18" s="7"/>
      <c r="H18" s="7"/>
    </row>
    <row r="19" spans="1:8" ht="15.75" customHeight="1">
      <c r="A19" s="8">
        <v>18</v>
      </c>
      <c r="B19" s="17">
        <v>9</v>
      </c>
      <c r="C19" s="17">
        <v>8.5</v>
      </c>
      <c r="D19" s="6">
        <f t="shared" si="0"/>
        <v>1.0588235294117647</v>
      </c>
      <c r="E19" s="7"/>
      <c r="F19" s="7"/>
      <c r="G19" s="7"/>
      <c r="H19" s="7"/>
    </row>
    <row r="20" spans="1:8" ht="15.75" customHeight="1">
      <c r="A20" s="8">
        <v>19</v>
      </c>
      <c r="B20" s="17">
        <v>9</v>
      </c>
      <c r="C20" s="17">
        <v>8.5</v>
      </c>
      <c r="D20" s="6">
        <f t="shared" si="0"/>
        <v>1.0588235294117647</v>
      </c>
      <c r="E20" s="7"/>
      <c r="F20" s="7"/>
      <c r="G20" s="7"/>
      <c r="H20" s="7"/>
    </row>
    <row r="21" spans="1:8" ht="15.75" customHeight="1">
      <c r="A21" s="8">
        <v>20</v>
      </c>
      <c r="B21" s="17">
        <v>9</v>
      </c>
      <c r="C21" s="17">
        <v>9</v>
      </c>
      <c r="D21" s="6">
        <f t="shared" si="0"/>
        <v>1</v>
      </c>
      <c r="E21" s="7"/>
      <c r="F21" s="7"/>
      <c r="G21" s="7"/>
      <c r="H21" s="7"/>
    </row>
    <row r="22" spans="1:8" ht="15.75" customHeight="1">
      <c r="A22" s="8">
        <v>21</v>
      </c>
      <c r="B22" s="17">
        <v>9.5</v>
      </c>
      <c r="C22" s="17">
        <v>9.5</v>
      </c>
      <c r="D22" s="6">
        <f t="shared" si="0"/>
        <v>1</v>
      </c>
      <c r="E22" s="7"/>
      <c r="F22" s="7"/>
      <c r="G22" s="7"/>
      <c r="H22" s="7"/>
    </row>
    <row r="23" spans="1:8" ht="15.75" customHeight="1">
      <c r="A23" s="8">
        <v>22</v>
      </c>
      <c r="B23" s="17">
        <v>9</v>
      </c>
      <c r="C23" s="17">
        <v>8.5</v>
      </c>
      <c r="D23" s="6">
        <f t="shared" si="0"/>
        <v>1.0588235294117647</v>
      </c>
      <c r="E23" s="7"/>
      <c r="F23" s="7"/>
      <c r="G23" s="7"/>
      <c r="H23" s="7"/>
    </row>
    <row r="24" spans="1:8" ht="15.75" customHeight="1">
      <c r="A24" s="8">
        <v>23</v>
      </c>
      <c r="B24" s="17">
        <v>8</v>
      </c>
      <c r="C24" s="17">
        <v>7.5</v>
      </c>
      <c r="D24" s="6">
        <f t="shared" si="0"/>
        <v>1.0666666666666667</v>
      </c>
      <c r="E24" s="7"/>
      <c r="F24" s="7"/>
      <c r="G24" s="7"/>
      <c r="H24" s="7"/>
    </row>
    <row r="25" spans="1:8" ht="15.75" customHeight="1">
      <c r="A25" s="8">
        <v>24</v>
      </c>
      <c r="B25" s="17">
        <v>9</v>
      </c>
      <c r="C25" s="17">
        <v>8.5</v>
      </c>
      <c r="D25" s="6">
        <f t="shared" si="0"/>
        <v>1.0588235294117647</v>
      </c>
      <c r="E25" s="7"/>
      <c r="F25" s="7"/>
      <c r="G25" s="7"/>
      <c r="H25" s="7"/>
    </row>
    <row r="26" spans="1:8" ht="15.75" customHeight="1">
      <c r="A26" s="8">
        <v>25</v>
      </c>
      <c r="B26" s="17">
        <v>10</v>
      </c>
      <c r="C26" s="17">
        <v>9.5</v>
      </c>
      <c r="D26" s="6">
        <f t="shared" si="0"/>
        <v>1.0526315789473684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8.68</v>
      </c>
      <c r="C27" s="5">
        <f t="shared" si="1"/>
        <v>8.5399999999999991</v>
      </c>
      <c r="D27" s="9">
        <f t="shared" si="1"/>
        <v>1.0173186151653644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6</v>
      </c>
      <c r="C28" s="5">
        <f t="shared" si="2"/>
        <v>6</v>
      </c>
      <c r="D28" s="9">
        <f t="shared" si="2"/>
        <v>0.94117647058823528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10</v>
      </c>
      <c r="C29" s="5">
        <f t="shared" si="3"/>
        <v>10</v>
      </c>
      <c r="D29" s="9">
        <f t="shared" si="3"/>
        <v>1.0666666666666667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40.5</v>
      </c>
      <c r="C33" s="17">
        <v>11.5</v>
      </c>
      <c r="D33" s="13">
        <v>2</v>
      </c>
      <c r="E33" s="17">
        <v>1.5</v>
      </c>
      <c r="F33" s="7"/>
      <c r="G33" s="7"/>
      <c r="H33" s="7"/>
    </row>
    <row r="34" spans="1:8" ht="15.75" customHeight="1">
      <c r="A34" s="4">
        <v>2</v>
      </c>
      <c r="B34" s="17">
        <v>52</v>
      </c>
      <c r="C34" s="17">
        <v>13.5</v>
      </c>
      <c r="D34" s="13">
        <v>4</v>
      </c>
      <c r="E34" s="17">
        <v>6</v>
      </c>
      <c r="F34" s="7"/>
      <c r="G34" s="7"/>
      <c r="H34" s="7"/>
    </row>
    <row r="35" spans="1:8" ht="15.75" customHeight="1">
      <c r="A35" s="4">
        <v>3</v>
      </c>
      <c r="B35" s="17">
        <v>46</v>
      </c>
      <c r="C35" s="17">
        <v>12</v>
      </c>
      <c r="D35" s="13">
        <v>4</v>
      </c>
      <c r="E35" s="14">
        <v>6.5</v>
      </c>
      <c r="F35" s="7"/>
      <c r="G35" s="7"/>
      <c r="H35" s="7"/>
    </row>
    <row r="36" spans="1:8" ht="15.75" customHeight="1">
      <c r="A36" s="4">
        <v>4</v>
      </c>
      <c r="B36" s="17">
        <v>44.5</v>
      </c>
      <c r="C36" s="17">
        <v>12.5</v>
      </c>
      <c r="D36" s="13">
        <v>4</v>
      </c>
      <c r="E36" s="5"/>
      <c r="F36" s="7"/>
      <c r="G36" s="14" t="s">
        <v>273</v>
      </c>
      <c r="H36" s="7"/>
    </row>
    <row r="37" spans="1:8" ht="15.75" customHeight="1">
      <c r="A37" s="4">
        <v>5</v>
      </c>
      <c r="B37" s="17">
        <v>54.5</v>
      </c>
      <c r="C37" s="17">
        <v>13.6</v>
      </c>
      <c r="D37" s="13">
        <v>4</v>
      </c>
      <c r="E37" s="17">
        <v>6</v>
      </c>
      <c r="F37" s="7"/>
      <c r="G37" s="7"/>
      <c r="H37" s="7"/>
    </row>
    <row r="38" spans="1:8" ht="15.75" customHeight="1">
      <c r="A38" s="4">
        <v>6</v>
      </c>
      <c r="B38" s="17">
        <v>44</v>
      </c>
      <c r="C38" s="17">
        <v>11.5</v>
      </c>
      <c r="D38" s="13">
        <v>4</v>
      </c>
      <c r="E38" s="17">
        <v>5</v>
      </c>
      <c r="F38" s="7"/>
      <c r="G38" s="14" t="s">
        <v>274</v>
      </c>
      <c r="H38" s="7"/>
    </row>
    <row r="39" spans="1:8" ht="15.75" customHeight="1">
      <c r="A39" s="4">
        <v>7</v>
      </c>
      <c r="B39" s="17">
        <v>47</v>
      </c>
      <c r="C39" s="17">
        <v>11.5</v>
      </c>
      <c r="D39" s="13">
        <v>4</v>
      </c>
      <c r="E39" s="17">
        <v>3.5</v>
      </c>
      <c r="F39" s="7"/>
      <c r="G39" s="14" t="s">
        <v>275</v>
      </c>
      <c r="H39" s="7"/>
    </row>
    <row r="40" spans="1:8" ht="15.75" customHeight="1">
      <c r="A40" s="4">
        <v>8</v>
      </c>
      <c r="B40" s="17">
        <v>46</v>
      </c>
      <c r="C40" s="17">
        <v>13</v>
      </c>
      <c r="D40" s="13">
        <v>4</v>
      </c>
      <c r="E40" s="17">
        <v>5.3</v>
      </c>
      <c r="F40" s="7"/>
      <c r="G40" s="7"/>
      <c r="H40" s="7"/>
    </row>
    <row r="41" spans="1:8" ht="15.75" customHeight="1">
      <c r="A41" s="4">
        <v>9</v>
      </c>
      <c r="B41" s="17">
        <v>60</v>
      </c>
      <c r="C41" s="17">
        <v>12.5</v>
      </c>
      <c r="D41" s="13">
        <v>4</v>
      </c>
      <c r="E41" s="17">
        <v>4</v>
      </c>
      <c r="F41" s="7"/>
      <c r="G41" s="14" t="s">
        <v>276</v>
      </c>
      <c r="H41" s="7"/>
    </row>
    <row r="42" spans="1:8" ht="15.75" customHeight="1">
      <c r="A42" s="4">
        <v>10</v>
      </c>
      <c r="B42" s="17">
        <v>50</v>
      </c>
      <c r="C42" s="17">
        <v>15</v>
      </c>
      <c r="D42" s="13">
        <v>4</v>
      </c>
      <c r="E42" s="17">
        <v>5.5</v>
      </c>
      <c r="F42" s="7"/>
      <c r="G42" s="7"/>
      <c r="H42" s="7"/>
    </row>
    <row r="43" spans="1:8" ht="15.75" customHeight="1">
      <c r="A43" s="8">
        <v>11</v>
      </c>
      <c r="B43" s="17">
        <v>52</v>
      </c>
      <c r="C43" s="17">
        <v>15</v>
      </c>
      <c r="D43" s="13">
        <v>4</v>
      </c>
      <c r="E43" s="17">
        <v>6</v>
      </c>
      <c r="F43" s="7"/>
      <c r="G43" s="14" t="s">
        <v>277</v>
      </c>
      <c r="H43" s="7"/>
    </row>
    <row r="44" spans="1:8" ht="15.75" customHeight="1">
      <c r="A44" s="8">
        <v>12</v>
      </c>
      <c r="B44" s="1">
        <v>53.5</v>
      </c>
      <c r="C44" s="1">
        <v>13.5</v>
      </c>
      <c r="D44" s="12">
        <v>4</v>
      </c>
      <c r="E44" s="1">
        <v>8</v>
      </c>
      <c r="F44" s="7"/>
      <c r="G44" s="7"/>
      <c r="H44" s="7"/>
    </row>
    <row r="45" spans="1:8" ht="15.75" customHeight="1">
      <c r="A45" s="8">
        <v>13</v>
      </c>
      <c r="B45" s="1">
        <v>50</v>
      </c>
      <c r="C45" s="1">
        <v>11</v>
      </c>
      <c r="D45" s="12">
        <v>4</v>
      </c>
      <c r="E45" s="1">
        <v>6</v>
      </c>
      <c r="F45" s="7"/>
      <c r="G45" s="7"/>
      <c r="H45" s="7"/>
    </row>
    <row r="46" spans="1:8" ht="15.75" customHeight="1">
      <c r="A46" s="8">
        <v>14</v>
      </c>
      <c r="B46" s="1">
        <v>52</v>
      </c>
      <c r="C46" s="1">
        <v>12.5</v>
      </c>
      <c r="D46" s="12">
        <v>4</v>
      </c>
      <c r="E46" s="1">
        <v>3</v>
      </c>
      <c r="F46" s="7"/>
      <c r="G46" s="7"/>
      <c r="H46" s="7"/>
    </row>
    <row r="47" spans="1:8" ht="15.75" customHeight="1">
      <c r="A47" s="8">
        <v>15</v>
      </c>
      <c r="B47" s="1">
        <v>50</v>
      </c>
      <c r="C47" s="1">
        <v>12</v>
      </c>
      <c r="D47" s="12">
        <v>4</v>
      </c>
      <c r="E47" s="1">
        <v>5</v>
      </c>
      <c r="F47" s="7"/>
      <c r="G47" s="7"/>
      <c r="H47" s="7"/>
    </row>
    <row r="48" spans="1:8" ht="15.75" customHeight="1">
      <c r="A48" s="8">
        <v>16</v>
      </c>
      <c r="D48" s="12">
        <v>4</v>
      </c>
      <c r="F48" s="7"/>
      <c r="G48" s="7"/>
      <c r="H48" s="7"/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9">
        <f t="shared" ref="B58:C58" si="4">AVERAGE(B33:B57)</f>
        <v>49.466666666666669</v>
      </c>
      <c r="C58" s="9">
        <f t="shared" si="4"/>
        <v>12.706666666666667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40.5</v>
      </c>
      <c r="C59" s="5">
        <f t="shared" si="5"/>
        <v>11</v>
      </c>
      <c r="D59" s="11">
        <f t="shared" si="5"/>
        <v>2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60</v>
      </c>
      <c r="C60" s="5">
        <f t="shared" si="6"/>
        <v>15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19">
        <v>0.99</v>
      </c>
      <c r="D63" s="18" t="s">
        <v>278</v>
      </c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8</v>
      </c>
      <c r="C65" s="14">
        <v>46</v>
      </c>
      <c r="D65" s="18">
        <v>30.5</v>
      </c>
      <c r="E65" s="7"/>
      <c r="F65" s="7"/>
      <c r="G65" s="7"/>
      <c r="H65" s="7"/>
    </row>
    <row r="66" spans="1:8" ht="14">
      <c r="A66" s="2"/>
      <c r="B66" s="14">
        <v>4.5</v>
      </c>
      <c r="C66" s="14">
        <v>19.5</v>
      </c>
      <c r="D66" s="18">
        <v>20</v>
      </c>
      <c r="E66" s="7"/>
      <c r="F66" s="7"/>
      <c r="G66" s="7"/>
      <c r="H66" s="7"/>
    </row>
    <row r="67" spans="1:8" ht="14">
      <c r="A67" s="2"/>
      <c r="B67" s="14">
        <v>6.5</v>
      </c>
      <c r="C67" s="7"/>
      <c r="D67" s="10"/>
      <c r="E67" s="7"/>
      <c r="F67" s="7"/>
      <c r="G67" s="7"/>
      <c r="H67" s="7"/>
    </row>
    <row r="68" spans="1:8" ht="14">
      <c r="A68" s="2"/>
      <c r="B68" s="14">
        <v>7</v>
      </c>
      <c r="C68" s="7"/>
      <c r="D68" s="10"/>
      <c r="E68" s="7"/>
      <c r="F68" s="7"/>
      <c r="G68" s="7"/>
      <c r="H68" s="7"/>
    </row>
    <row r="69" spans="1:8" ht="14">
      <c r="A69" s="2"/>
      <c r="B69" s="14">
        <v>7.5</v>
      </c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 t="s">
        <v>279</v>
      </c>
      <c r="C71" s="7"/>
      <c r="D71" s="10"/>
      <c r="E71" s="7"/>
      <c r="F71" s="7"/>
      <c r="G71" s="7"/>
      <c r="H71" s="7"/>
    </row>
    <row r="72" spans="1:8" ht="13">
      <c r="D72" s="16"/>
    </row>
    <row r="73" spans="1:8" ht="13">
      <c r="D73" s="16"/>
    </row>
    <row r="74" spans="1:8" ht="13"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I1006"/>
  <sheetViews>
    <sheetView workbookViewId="0"/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9.5</v>
      </c>
      <c r="C2" s="17">
        <v>9.5</v>
      </c>
      <c r="D2" s="6">
        <f t="shared" ref="D2:D26" si="0">B2/C2</f>
        <v>1</v>
      </c>
      <c r="E2" s="14" t="s">
        <v>29</v>
      </c>
      <c r="F2" s="14" t="s">
        <v>30</v>
      </c>
      <c r="G2" s="14" t="s">
        <v>29</v>
      </c>
      <c r="H2" s="14" t="s">
        <v>253</v>
      </c>
    </row>
    <row r="3" spans="1:8" ht="15.75" customHeight="1">
      <c r="A3" s="4">
        <v>2</v>
      </c>
      <c r="B3" s="17">
        <v>9.5</v>
      </c>
      <c r="C3" s="17">
        <v>9.5</v>
      </c>
      <c r="D3" s="6">
        <f t="shared" si="0"/>
        <v>1</v>
      </c>
      <c r="E3" s="7"/>
      <c r="F3" s="7"/>
      <c r="G3" s="7"/>
      <c r="H3" s="7"/>
    </row>
    <row r="4" spans="1:8" ht="15.75" customHeight="1">
      <c r="A4" s="4">
        <v>3</v>
      </c>
      <c r="B4" s="17">
        <v>9.5</v>
      </c>
      <c r="C4" s="17">
        <v>8.5</v>
      </c>
      <c r="D4" s="6">
        <f t="shared" si="0"/>
        <v>1.1176470588235294</v>
      </c>
      <c r="E4" s="7"/>
      <c r="F4" s="7"/>
      <c r="G4" s="7"/>
      <c r="H4" s="7"/>
    </row>
    <row r="5" spans="1:8" ht="15.75" customHeight="1">
      <c r="A5" s="4">
        <v>4</v>
      </c>
      <c r="B5" s="17">
        <v>9</v>
      </c>
      <c r="C5" s="17">
        <v>9</v>
      </c>
      <c r="D5" s="6">
        <f t="shared" si="0"/>
        <v>1</v>
      </c>
      <c r="E5" s="7"/>
      <c r="F5" s="7"/>
      <c r="G5" s="7"/>
      <c r="H5" s="7"/>
    </row>
    <row r="6" spans="1:8" ht="15.75" customHeight="1">
      <c r="A6" s="4">
        <v>5</v>
      </c>
      <c r="B6" s="17">
        <v>9</v>
      </c>
      <c r="C6" s="17">
        <v>8.5</v>
      </c>
      <c r="D6" s="6">
        <f t="shared" si="0"/>
        <v>1.0588235294117647</v>
      </c>
      <c r="E6" s="7"/>
      <c r="F6" s="7"/>
      <c r="G6" s="7"/>
      <c r="H6" s="7"/>
    </row>
    <row r="7" spans="1:8" ht="15.75" customHeight="1">
      <c r="A7" s="4">
        <v>6</v>
      </c>
      <c r="B7" s="17">
        <v>9.5</v>
      </c>
      <c r="C7" s="17">
        <v>9.5</v>
      </c>
      <c r="D7" s="6">
        <f t="shared" si="0"/>
        <v>1</v>
      </c>
      <c r="E7" s="7"/>
      <c r="F7" s="7"/>
      <c r="G7" s="7"/>
      <c r="H7" s="7"/>
    </row>
    <row r="8" spans="1:8" ht="15.75" customHeight="1">
      <c r="A8" s="4">
        <v>7</v>
      </c>
      <c r="B8" s="17">
        <v>10</v>
      </c>
      <c r="C8" s="17">
        <v>9.5</v>
      </c>
      <c r="D8" s="6">
        <f t="shared" si="0"/>
        <v>1.0526315789473684</v>
      </c>
      <c r="E8" s="7"/>
      <c r="F8" s="7"/>
      <c r="G8" s="7"/>
      <c r="H8" s="7"/>
    </row>
    <row r="9" spans="1:8" ht="15.75" customHeight="1">
      <c r="A9" s="4">
        <v>8</v>
      </c>
      <c r="B9" s="17">
        <v>8</v>
      </c>
      <c r="C9" s="17">
        <v>8.5</v>
      </c>
      <c r="D9" s="6">
        <f t="shared" si="0"/>
        <v>0.94117647058823528</v>
      </c>
      <c r="E9" s="7"/>
      <c r="F9" s="7"/>
      <c r="G9" s="7"/>
      <c r="H9" s="7"/>
    </row>
    <row r="10" spans="1:8" ht="15.75" customHeight="1">
      <c r="A10" s="4">
        <v>9</v>
      </c>
      <c r="B10" s="17">
        <v>10</v>
      </c>
      <c r="C10" s="17">
        <v>9.5</v>
      </c>
      <c r="D10" s="6">
        <f t="shared" si="0"/>
        <v>1.0526315789473684</v>
      </c>
      <c r="E10" s="7"/>
      <c r="F10" s="7"/>
      <c r="G10" s="7"/>
      <c r="H10" s="7"/>
    </row>
    <row r="11" spans="1:8" ht="15.75" customHeight="1">
      <c r="A11" s="4">
        <v>10</v>
      </c>
      <c r="B11" s="17">
        <v>10</v>
      </c>
      <c r="C11" s="17">
        <v>9</v>
      </c>
      <c r="D11" s="6">
        <f t="shared" si="0"/>
        <v>1.1111111111111112</v>
      </c>
      <c r="E11" s="7"/>
      <c r="F11" s="7"/>
      <c r="G11" s="7"/>
      <c r="H11" s="7"/>
    </row>
    <row r="12" spans="1:8" ht="15.75" customHeight="1">
      <c r="A12" s="8">
        <v>11</v>
      </c>
      <c r="B12" s="17">
        <v>9</v>
      </c>
      <c r="C12" s="17">
        <v>9</v>
      </c>
      <c r="D12" s="6">
        <f t="shared" si="0"/>
        <v>1</v>
      </c>
      <c r="E12" s="7"/>
      <c r="F12" s="7"/>
      <c r="G12" s="7"/>
      <c r="H12" s="7"/>
    </row>
    <row r="13" spans="1:8" ht="15.75" customHeight="1">
      <c r="A13" s="8">
        <v>12</v>
      </c>
      <c r="B13" s="17">
        <v>8</v>
      </c>
      <c r="C13" s="17">
        <v>9.5</v>
      </c>
      <c r="D13" s="6">
        <f t="shared" si="0"/>
        <v>0.84210526315789469</v>
      </c>
      <c r="E13" s="7"/>
      <c r="F13" s="7"/>
      <c r="G13" s="7"/>
      <c r="H13" s="7"/>
    </row>
    <row r="14" spans="1:8" ht="15.75" customHeight="1">
      <c r="A14" s="8">
        <v>13</v>
      </c>
      <c r="B14" s="17">
        <v>9</v>
      </c>
      <c r="C14" s="17">
        <v>9</v>
      </c>
      <c r="D14" s="6">
        <f t="shared" si="0"/>
        <v>1</v>
      </c>
      <c r="E14" s="7"/>
      <c r="F14" s="7"/>
      <c r="G14" s="7"/>
      <c r="H14" s="7"/>
    </row>
    <row r="15" spans="1:8" ht="15.75" customHeight="1">
      <c r="A15" s="8">
        <v>14</v>
      </c>
      <c r="B15" s="17">
        <v>9</v>
      </c>
      <c r="C15" s="17">
        <v>9</v>
      </c>
      <c r="D15" s="6">
        <f t="shared" si="0"/>
        <v>1</v>
      </c>
      <c r="E15" s="7"/>
      <c r="F15" s="7"/>
      <c r="G15" s="7"/>
      <c r="H15" s="7"/>
    </row>
    <row r="16" spans="1:8" ht="15.75" customHeight="1">
      <c r="A16" s="8">
        <v>15</v>
      </c>
      <c r="B16" s="17">
        <v>10</v>
      </c>
      <c r="C16" s="17">
        <v>10</v>
      </c>
      <c r="D16" s="6">
        <f t="shared" si="0"/>
        <v>1</v>
      </c>
      <c r="E16" s="7"/>
      <c r="F16" s="7"/>
      <c r="G16" s="7"/>
      <c r="H16" s="7"/>
    </row>
    <row r="17" spans="1:8" ht="15.75" customHeight="1">
      <c r="A17" s="8">
        <v>16</v>
      </c>
      <c r="B17" s="17">
        <v>8</v>
      </c>
      <c r="C17" s="17">
        <v>8.5</v>
      </c>
      <c r="D17" s="6">
        <f t="shared" si="0"/>
        <v>0.94117647058823528</v>
      </c>
      <c r="E17" s="7"/>
      <c r="F17" s="7"/>
      <c r="G17" s="7"/>
      <c r="H17" s="7"/>
    </row>
    <row r="18" spans="1:8" ht="15.75" customHeight="1">
      <c r="A18" s="8">
        <v>17</v>
      </c>
      <c r="B18" s="17">
        <v>9</v>
      </c>
      <c r="C18" s="17">
        <v>8.5</v>
      </c>
      <c r="D18" s="6">
        <f t="shared" si="0"/>
        <v>1.0588235294117647</v>
      </c>
      <c r="E18" s="7"/>
      <c r="F18" s="7"/>
      <c r="G18" s="7"/>
      <c r="H18" s="7"/>
    </row>
    <row r="19" spans="1:8" ht="15.75" customHeight="1">
      <c r="A19" s="8">
        <v>18</v>
      </c>
      <c r="B19" s="17">
        <v>9.5</v>
      </c>
      <c r="C19" s="17">
        <v>9.5</v>
      </c>
      <c r="D19" s="6">
        <f t="shared" si="0"/>
        <v>1</v>
      </c>
      <c r="E19" s="7"/>
      <c r="F19" s="7"/>
      <c r="G19" s="7"/>
      <c r="H19" s="7"/>
    </row>
    <row r="20" spans="1:8" ht="15.75" customHeight="1">
      <c r="A20" s="8">
        <v>19</v>
      </c>
      <c r="B20" s="17">
        <v>8</v>
      </c>
      <c r="C20" s="17">
        <v>8.5</v>
      </c>
      <c r="D20" s="6">
        <f t="shared" si="0"/>
        <v>0.94117647058823528</v>
      </c>
      <c r="E20" s="7"/>
      <c r="F20" s="7"/>
      <c r="G20" s="7"/>
      <c r="H20" s="7"/>
    </row>
    <row r="21" spans="1:8" ht="15.75" customHeight="1">
      <c r="A21" s="8">
        <v>20</v>
      </c>
      <c r="B21" s="17">
        <v>9.5</v>
      </c>
      <c r="C21" s="17">
        <v>9.5</v>
      </c>
      <c r="D21" s="6">
        <f t="shared" si="0"/>
        <v>1</v>
      </c>
      <c r="E21" s="7"/>
      <c r="F21" s="7"/>
      <c r="G21" s="7"/>
      <c r="H21" s="7"/>
    </row>
    <row r="22" spans="1:8" ht="15.75" customHeight="1">
      <c r="A22" s="8">
        <v>21</v>
      </c>
      <c r="B22" s="17">
        <v>9.5</v>
      </c>
      <c r="C22" s="17">
        <v>8.5</v>
      </c>
      <c r="D22" s="6">
        <f t="shared" si="0"/>
        <v>1.1176470588235294</v>
      </c>
      <c r="E22" s="7"/>
      <c r="F22" s="7"/>
      <c r="G22" s="7"/>
      <c r="H22" s="7"/>
    </row>
    <row r="23" spans="1:8" ht="15.75" customHeight="1">
      <c r="A23" s="8">
        <v>22</v>
      </c>
      <c r="B23" s="17">
        <v>9</v>
      </c>
      <c r="C23" s="17">
        <v>8.5</v>
      </c>
      <c r="D23" s="6">
        <f t="shared" si="0"/>
        <v>1.0588235294117647</v>
      </c>
      <c r="E23" s="7"/>
      <c r="F23" s="7"/>
      <c r="G23" s="7"/>
      <c r="H23" s="7"/>
    </row>
    <row r="24" spans="1:8" ht="15.75" customHeight="1">
      <c r="A24" s="8">
        <v>23</v>
      </c>
      <c r="B24" s="17">
        <v>8.5</v>
      </c>
      <c r="C24" s="17">
        <v>8</v>
      </c>
      <c r="D24" s="6">
        <f t="shared" si="0"/>
        <v>1.0625</v>
      </c>
      <c r="E24" s="7"/>
      <c r="F24" s="7"/>
      <c r="G24" s="7"/>
      <c r="H24" s="7"/>
    </row>
    <row r="25" spans="1:8" ht="15.75" customHeight="1">
      <c r="A25" s="8">
        <v>24</v>
      </c>
      <c r="B25" s="17">
        <v>9.5</v>
      </c>
      <c r="C25" s="17">
        <v>9</v>
      </c>
      <c r="D25" s="6">
        <f t="shared" si="0"/>
        <v>1.0555555555555556</v>
      </c>
      <c r="E25" s="7"/>
      <c r="F25" s="7"/>
      <c r="G25" s="7"/>
      <c r="H25" s="7"/>
    </row>
    <row r="26" spans="1:8" ht="15.75" customHeight="1">
      <c r="A26" s="8">
        <v>25</v>
      </c>
      <c r="B26" s="17">
        <v>8.5</v>
      </c>
      <c r="C26" s="17">
        <v>8.5</v>
      </c>
      <c r="D26" s="6">
        <f t="shared" si="0"/>
        <v>1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9.1199999999999992</v>
      </c>
      <c r="C27" s="5">
        <f t="shared" si="1"/>
        <v>8.98</v>
      </c>
      <c r="D27" s="9">
        <f t="shared" si="1"/>
        <v>1.0164731682146542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8</v>
      </c>
      <c r="C28" s="5">
        <f t="shared" si="2"/>
        <v>8</v>
      </c>
      <c r="D28" s="9">
        <f t="shared" si="2"/>
        <v>0.84210526315789469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10</v>
      </c>
      <c r="C29" s="5">
        <f t="shared" si="3"/>
        <v>10</v>
      </c>
      <c r="D29" s="9">
        <f t="shared" si="3"/>
        <v>1.1176470588235294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9" ht="15.75" customHeight="1">
      <c r="A33" s="4">
        <v>1</v>
      </c>
      <c r="B33" s="17">
        <v>48.5</v>
      </c>
      <c r="C33" s="17">
        <v>14</v>
      </c>
      <c r="D33" s="13">
        <v>4</v>
      </c>
      <c r="E33" s="17">
        <v>3</v>
      </c>
      <c r="F33" s="14" t="s">
        <v>280</v>
      </c>
      <c r="G33" s="14" t="s">
        <v>281</v>
      </c>
      <c r="H33" s="7"/>
    </row>
    <row r="34" spans="1:9" ht="15.75" customHeight="1">
      <c r="A34" s="4">
        <v>2</v>
      </c>
      <c r="B34" s="17">
        <v>50</v>
      </c>
      <c r="C34" s="17">
        <v>12.5</v>
      </c>
      <c r="D34" s="13">
        <v>4</v>
      </c>
      <c r="E34" s="17">
        <v>3</v>
      </c>
      <c r="F34" s="14" t="s">
        <v>280</v>
      </c>
      <c r="G34" s="14" t="s">
        <v>281</v>
      </c>
      <c r="H34" s="7"/>
    </row>
    <row r="35" spans="1:9" ht="15.75" customHeight="1">
      <c r="A35" s="4">
        <v>3</v>
      </c>
      <c r="B35" s="17">
        <v>56.5</v>
      </c>
      <c r="C35" s="17">
        <v>14</v>
      </c>
      <c r="D35" s="13">
        <v>4</v>
      </c>
      <c r="E35" s="14">
        <v>4</v>
      </c>
      <c r="F35" s="7"/>
      <c r="G35" s="7"/>
      <c r="H35" s="7"/>
    </row>
    <row r="36" spans="1:9" ht="15.75" customHeight="1">
      <c r="A36" s="4">
        <v>4</v>
      </c>
      <c r="B36" s="17">
        <v>46</v>
      </c>
      <c r="C36" s="17">
        <v>12.5</v>
      </c>
      <c r="D36" s="13">
        <v>4</v>
      </c>
      <c r="E36" s="17">
        <v>3.5</v>
      </c>
      <c r="F36" s="7"/>
      <c r="G36" s="7"/>
      <c r="H36" s="7"/>
    </row>
    <row r="37" spans="1:9" ht="15.75" customHeight="1">
      <c r="A37" s="4">
        <v>5</v>
      </c>
      <c r="B37" s="17">
        <v>46.5</v>
      </c>
      <c r="C37" s="17">
        <v>13</v>
      </c>
      <c r="D37" s="13">
        <v>4</v>
      </c>
      <c r="E37" s="17">
        <v>3</v>
      </c>
      <c r="F37" s="7"/>
      <c r="G37" s="7"/>
      <c r="H37" s="7"/>
    </row>
    <row r="38" spans="1:9" ht="15.75" customHeight="1">
      <c r="A38" s="4">
        <v>6</v>
      </c>
      <c r="B38" s="17">
        <v>57</v>
      </c>
      <c r="C38" s="17">
        <v>13</v>
      </c>
      <c r="D38" s="13">
        <v>4</v>
      </c>
      <c r="E38" s="17">
        <v>4</v>
      </c>
      <c r="F38" s="7"/>
      <c r="G38" s="14" t="s">
        <v>282</v>
      </c>
      <c r="H38" s="14" t="s">
        <v>283</v>
      </c>
    </row>
    <row r="39" spans="1:9" ht="15.75" customHeight="1">
      <c r="A39" s="4">
        <v>7</v>
      </c>
      <c r="B39" s="17">
        <v>54</v>
      </c>
      <c r="C39" s="17">
        <v>10.5</v>
      </c>
      <c r="D39" s="13">
        <v>4</v>
      </c>
      <c r="E39" s="17">
        <v>4</v>
      </c>
      <c r="F39" s="7"/>
      <c r="G39" s="7"/>
      <c r="H39" s="14" t="s">
        <v>284</v>
      </c>
    </row>
    <row r="40" spans="1:9" ht="15.75" customHeight="1">
      <c r="A40" s="4">
        <v>8</v>
      </c>
      <c r="B40" s="17">
        <v>53.5</v>
      </c>
      <c r="C40" s="17">
        <v>12.5</v>
      </c>
      <c r="D40" s="13">
        <v>4</v>
      </c>
      <c r="E40" s="17">
        <v>1.5</v>
      </c>
      <c r="F40" s="7"/>
      <c r="G40" s="7"/>
      <c r="H40" s="14" t="s">
        <v>152</v>
      </c>
    </row>
    <row r="41" spans="1:9" ht="15.75" customHeight="1">
      <c r="A41" s="4">
        <v>9</v>
      </c>
      <c r="B41" s="17">
        <v>63</v>
      </c>
      <c r="C41" s="17">
        <v>12.5</v>
      </c>
      <c r="D41" s="13">
        <v>4</v>
      </c>
      <c r="E41" s="17">
        <v>3.5</v>
      </c>
      <c r="F41" s="7"/>
      <c r="G41" s="7"/>
      <c r="H41" s="14" t="s">
        <v>285</v>
      </c>
      <c r="I41" s="1" t="s">
        <v>286</v>
      </c>
    </row>
    <row r="42" spans="1:9" ht="15.75" customHeight="1">
      <c r="A42" s="4">
        <v>10</v>
      </c>
      <c r="B42" s="17">
        <v>64</v>
      </c>
      <c r="C42" s="17">
        <v>14.5</v>
      </c>
      <c r="D42" s="13">
        <v>4</v>
      </c>
      <c r="E42" s="17">
        <v>2.5</v>
      </c>
      <c r="F42" s="7"/>
      <c r="G42" s="7"/>
      <c r="H42" s="7"/>
    </row>
    <row r="43" spans="1:9" ht="15.75" customHeight="1">
      <c r="A43" s="8">
        <v>11</v>
      </c>
      <c r="B43" s="17">
        <v>50</v>
      </c>
      <c r="C43" s="17">
        <v>13</v>
      </c>
      <c r="D43" s="13">
        <v>4</v>
      </c>
      <c r="E43" s="17">
        <v>4.5</v>
      </c>
      <c r="F43" s="7"/>
      <c r="G43" s="14" t="s">
        <v>287</v>
      </c>
      <c r="H43" s="7"/>
    </row>
    <row r="44" spans="1:9" ht="15.75" customHeight="1">
      <c r="A44" s="8">
        <v>12</v>
      </c>
      <c r="B44" s="1">
        <v>47.5</v>
      </c>
      <c r="C44" s="1">
        <v>12</v>
      </c>
      <c r="D44" s="12">
        <v>4</v>
      </c>
      <c r="E44" s="1">
        <v>2</v>
      </c>
      <c r="F44" s="7"/>
      <c r="G44" s="7"/>
      <c r="H44" s="7"/>
    </row>
    <row r="45" spans="1:9" ht="15.75" customHeight="1">
      <c r="A45" s="8">
        <v>13</v>
      </c>
      <c r="B45" s="1">
        <v>49</v>
      </c>
      <c r="C45" s="1">
        <v>14.5</v>
      </c>
      <c r="D45" s="12">
        <v>4</v>
      </c>
      <c r="E45" s="1">
        <v>4.5</v>
      </c>
      <c r="F45" s="7"/>
      <c r="G45" s="7"/>
      <c r="H45" s="7"/>
    </row>
    <row r="46" spans="1:9" ht="15.75" customHeight="1">
      <c r="A46" s="8">
        <v>14</v>
      </c>
      <c r="B46" s="1">
        <v>58</v>
      </c>
      <c r="C46" s="1">
        <v>14.5</v>
      </c>
      <c r="D46" s="12">
        <v>4</v>
      </c>
      <c r="E46" s="1">
        <v>3</v>
      </c>
      <c r="F46" s="7"/>
      <c r="G46" s="7"/>
      <c r="H46" s="7"/>
    </row>
    <row r="47" spans="1:9" ht="15.75" customHeight="1">
      <c r="A47" s="8">
        <v>15</v>
      </c>
      <c r="B47" s="1">
        <v>65.5</v>
      </c>
      <c r="C47" s="1">
        <v>13.5</v>
      </c>
      <c r="D47" s="12">
        <v>4</v>
      </c>
      <c r="E47" s="1">
        <v>4</v>
      </c>
      <c r="F47" s="7"/>
      <c r="G47" s="7"/>
      <c r="H47" s="7"/>
    </row>
    <row r="48" spans="1:9" ht="15.75" customHeight="1">
      <c r="A48" s="8">
        <v>16</v>
      </c>
      <c r="D48" s="12">
        <v>4</v>
      </c>
      <c r="F48" s="7"/>
      <c r="G48" s="7"/>
      <c r="H48" s="7"/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53.93333333333333</v>
      </c>
      <c r="C58" s="5">
        <f t="shared" si="4"/>
        <v>13.1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46</v>
      </c>
      <c r="C59" s="5">
        <f t="shared" si="5"/>
        <v>10.5</v>
      </c>
      <c r="D59" s="11">
        <f t="shared" si="5"/>
        <v>4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65.5</v>
      </c>
      <c r="C60" s="5">
        <f t="shared" si="6"/>
        <v>14.5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19">
        <v>1</v>
      </c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6</v>
      </c>
      <c r="C65" s="7"/>
      <c r="D65" s="10"/>
      <c r="E65" s="7"/>
      <c r="F65" s="7"/>
      <c r="G65" s="7"/>
      <c r="H65" s="7"/>
    </row>
    <row r="66" spans="1:8" ht="14">
      <c r="A66" s="2"/>
      <c r="B66" s="14">
        <v>5</v>
      </c>
      <c r="C66" s="7"/>
      <c r="D66" s="10"/>
      <c r="E66" s="7"/>
      <c r="F66" s="7"/>
      <c r="G66" s="7"/>
      <c r="H66" s="7"/>
    </row>
    <row r="67" spans="1:8" ht="14">
      <c r="A67" s="2"/>
      <c r="B67" s="14">
        <v>9</v>
      </c>
      <c r="C67" s="7"/>
      <c r="D67" s="10"/>
      <c r="E67" s="7"/>
      <c r="F67" s="7"/>
      <c r="G67" s="7"/>
      <c r="H67" s="7"/>
    </row>
    <row r="68" spans="1:8" ht="14">
      <c r="A68" s="2"/>
      <c r="B68" s="14">
        <v>5.5</v>
      </c>
      <c r="C68" s="7"/>
      <c r="D68" s="10"/>
      <c r="E68" s="7"/>
      <c r="F68" s="7"/>
      <c r="G68" s="7"/>
      <c r="H68" s="7"/>
    </row>
    <row r="69" spans="1:8" ht="14">
      <c r="A69" s="2"/>
      <c r="B69" s="14">
        <v>7.5</v>
      </c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 t="s">
        <v>108</v>
      </c>
      <c r="C71" s="7"/>
      <c r="D71" s="10"/>
      <c r="E71" s="7"/>
      <c r="F71" s="7"/>
      <c r="G71" s="7"/>
      <c r="H71" s="7"/>
    </row>
    <row r="72" spans="1:8" ht="13">
      <c r="D72" s="16"/>
    </row>
    <row r="73" spans="1:8" ht="13">
      <c r="D73" s="16"/>
    </row>
    <row r="74" spans="1:8" ht="13"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H1006"/>
  <sheetViews>
    <sheetView workbookViewId="0"/>
  </sheetViews>
  <sheetFormatPr baseColWidth="10" defaultColWidth="12.6640625" defaultRowHeight="15.75" customHeight="1"/>
  <cols>
    <col min="3" max="3" width="16.1640625" customWidth="1"/>
  </cols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11.5</v>
      </c>
      <c r="C2" s="17">
        <v>11.5</v>
      </c>
      <c r="D2" s="6">
        <f t="shared" ref="D2:D26" si="0">B2/C2</f>
        <v>1</v>
      </c>
      <c r="E2" s="14" t="s">
        <v>29</v>
      </c>
      <c r="F2" s="7"/>
      <c r="G2" s="14" t="s">
        <v>29</v>
      </c>
      <c r="H2" s="7"/>
    </row>
    <row r="3" spans="1:8" ht="15.75" customHeight="1">
      <c r="A3" s="4">
        <v>2</v>
      </c>
      <c r="B3" s="17">
        <v>11.5</v>
      </c>
      <c r="C3" s="17">
        <v>11</v>
      </c>
      <c r="D3" s="6">
        <f t="shared" si="0"/>
        <v>1.0454545454545454</v>
      </c>
      <c r="E3" s="7"/>
      <c r="F3" s="7"/>
      <c r="G3" s="7"/>
      <c r="H3" s="7"/>
    </row>
    <row r="4" spans="1:8" ht="15.75" customHeight="1">
      <c r="A4" s="4">
        <v>3</v>
      </c>
      <c r="B4" s="17">
        <v>9.5</v>
      </c>
      <c r="C4" s="17">
        <v>9.5</v>
      </c>
      <c r="D4" s="6">
        <f t="shared" si="0"/>
        <v>1</v>
      </c>
      <c r="E4" s="7"/>
      <c r="F4" s="7"/>
      <c r="G4" s="7"/>
      <c r="H4" s="7"/>
    </row>
    <row r="5" spans="1:8" ht="15.75" customHeight="1">
      <c r="A5" s="4">
        <v>4</v>
      </c>
      <c r="B5" s="17">
        <v>10.5</v>
      </c>
      <c r="C5" s="17">
        <v>10.5</v>
      </c>
      <c r="D5" s="6">
        <f t="shared" si="0"/>
        <v>1</v>
      </c>
      <c r="E5" s="7"/>
      <c r="F5" s="7"/>
      <c r="G5" s="7"/>
      <c r="H5" s="7"/>
    </row>
    <row r="6" spans="1:8" ht="15.75" customHeight="1">
      <c r="A6" s="4">
        <v>5</v>
      </c>
      <c r="B6" s="17">
        <v>11.5</v>
      </c>
      <c r="C6" s="17">
        <v>11.5</v>
      </c>
      <c r="D6" s="6">
        <f t="shared" si="0"/>
        <v>1</v>
      </c>
      <c r="E6" s="7"/>
      <c r="F6" s="7"/>
      <c r="G6" s="7"/>
      <c r="H6" s="7"/>
    </row>
    <row r="7" spans="1:8" ht="15.75" customHeight="1">
      <c r="A7" s="4">
        <v>6</v>
      </c>
      <c r="B7" s="17">
        <v>10.5</v>
      </c>
      <c r="C7" s="17">
        <v>10</v>
      </c>
      <c r="D7" s="6">
        <f t="shared" si="0"/>
        <v>1.05</v>
      </c>
      <c r="E7" s="7"/>
      <c r="F7" s="7"/>
      <c r="G7" s="7"/>
      <c r="H7" s="7"/>
    </row>
    <row r="8" spans="1:8" ht="15.75" customHeight="1">
      <c r="A8" s="4">
        <v>7</v>
      </c>
      <c r="B8" s="17">
        <v>10.5</v>
      </c>
      <c r="C8" s="17">
        <v>10.5</v>
      </c>
      <c r="D8" s="6">
        <f t="shared" si="0"/>
        <v>1</v>
      </c>
      <c r="E8" s="7"/>
      <c r="F8" s="7"/>
      <c r="G8" s="7"/>
      <c r="H8" s="7"/>
    </row>
    <row r="9" spans="1:8" ht="15.75" customHeight="1">
      <c r="A9" s="4">
        <v>8</v>
      </c>
      <c r="B9" s="17">
        <v>12</v>
      </c>
      <c r="C9" s="17">
        <v>12.5</v>
      </c>
      <c r="D9" s="6">
        <f t="shared" si="0"/>
        <v>0.96</v>
      </c>
      <c r="E9" s="7"/>
      <c r="F9" s="7"/>
      <c r="G9" s="7"/>
      <c r="H9" s="7"/>
    </row>
    <row r="10" spans="1:8" ht="15.75" customHeight="1">
      <c r="A10" s="4">
        <v>9</v>
      </c>
      <c r="B10" s="17">
        <v>11</v>
      </c>
      <c r="C10" s="17">
        <v>11.5</v>
      </c>
      <c r="D10" s="6">
        <f t="shared" si="0"/>
        <v>0.95652173913043481</v>
      </c>
      <c r="E10" s="7"/>
      <c r="F10" s="7"/>
      <c r="G10" s="7"/>
      <c r="H10" s="7"/>
    </row>
    <row r="11" spans="1:8" ht="15.75" customHeight="1">
      <c r="A11" s="4">
        <v>10</v>
      </c>
      <c r="B11" s="17">
        <v>11</v>
      </c>
      <c r="C11" s="17">
        <v>11</v>
      </c>
      <c r="D11" s="6">
        <f t="shared" si="0"/>
        <v>1</v>
      </c>
      <c r="E11" s="7"/>
      <c r="F11" s="7"/>
      <c r="G11" s="7"/>
      <c r="H11" s="7"/>
    </row>
    <row r="12" spans="1:8" ht="15.75" customHeight="1">
      <c r="A12" s="8">
        <v>11</v>
      </c>
      <c r="B12" s="17">
        <v>11</v>
      </c>
      <c r="C12" s="17">
        <v>10.5</v>
      </c>
      <c r="D12" s="6">
        <f t="shared" si="0"/>
        <v>1.0476190476190477</v>
      </c>
      <c r="E12" s="7"/>
      <c r="F12" s="7"/>
      <c r="G12" s="7"/>
      <c r="H12" s="7"/>
    </row>
    <row r="13" spans="1:8" ht="15.75" customHeight="1">
      <c r="A13" s="8">
        <v>12</v>
      </c>
      <c r="B13" s="17">
        <v>7.5</v>
      </c>
      <c r="C13" s="17">
        <v>8</v>
      </c>
      <c r="D13" s="6">
        <f t="shared" si="0"/>
        <v>0.9375</v>
      </c>
      <c r="E13" s="7"/>
      <c r="F13" s="7"/>
      <c r="G13" s="7"/>
      <c r="H13" s="7"/>
    </row>
    <row r="14" spans="1:8" ht="15.75" customHeight="1">
      <c r="A14" s="8">
        <v>13</v>
      </c>
      <c r="B14" s="17">
        <v>10.5</v>
      </c>
      <c r="C14" s="17">
        <v>10.5</v>
      </c>
      <c r="D14" s="6">
        <f t="shared" si="0"/>
        <v>1</v>
      </c>
      <c r="E14" s="7"/>
      <c r="F14" s="7"/>
      <c r="G14" s="7"/>
      <c r="H14" s="7"/>
    </row>
    <row r="15" spans="1:8" ht="15.75" customHeight="1">
      <c r="A15" s="8">
        <v>14</v>
      </c>
      <c r="B15" s="17">
        <v>11</v>
      </c>
      <c r="C15" s="17">
        <v>11.5</v>
      </c>
      <c r="D15" s="6">
        <f t="shared" si="0"/>
        <v>0.95652173913043481</v>
      </c>
      <c r="E15" s="7"/>
      <c r="F15" s="7"/>
      <c r="G15" s="7"/>
      <c r="H15" s="7"/>
    </row>
    <row r="16" spans="1:8" ht="15.75" customHeight="1">
      <c r="A16" s="8">
        <v>15</v>
      </c>
      <c r="B16" s="17">
        <v>10</v>
      </c>
      <c r="C16" s="17">
        <v>10</v>
      </c>
      <c r="D16" s="6">
        <f t="shared" si="0"/>
        <v>1</v>
      </c>
      <c r="E16" s="7"/>
      <c r="F16" s="7"/>
      <c r="G16" s="7"/>
      <c r="H16" s="7"/>
    </row>
    <row r="17" spans="1:8" ht="15.75" customHeight="1">
      <c r="A17" s="8">
        <v>16</v>
      </c>
      <c r="B17" s="17">
        <v>10.5</v>
      </c>
      <c r="C17" s="17">
        <v>11</v>
      </c>
      <c r="D17" s="6">
        <f t="shared" si="0"/>
        <v>0.95454545454545459</v>
      </c>
      <c r="E17" s="7"/>
      <c r="F17" s="7"/>
      <c r="G17" s="7"/>
      <c r="H17" s="7"/>
    </row>
    <row r="18" spans="1:8" ht="15.75" customHeight="1">
      <c r="A18" s="8">
        <v>17</v>
      </c>
      <c r="B18" s="17">
        <v>12.5</v>
      </c>
      <c r="C18" s="17">
        <v>12</v>
      </c>
      <c r="D18" s="6">
        <f t="shared" si="0"/>
        <v>1.0416666666666667</v>
      </c>
      <c r="E18" s="7"/>
      <c r="F18" s="7"/>
      <c r="G18" s="7"/>
      <c r="H18" s="7"/>
    </row>
    <row r="19" spans="1:8" ht="15.75" customHeight="1">
      <c r="A19" s="8">
        <v>18</v>
      </c>
      <c r="B19" s="17">
        <v>11</v>
      </c>
      <c r="C19" s="17">
        <v>10.5</v>
      </c>
      <c r="D19" s="6">
        <f t="shared" si="0"/>
        <v>1.0476190476190477</v>
      </c>
      <c r="E19" s="7"/>
      <c r="F19" s="7"/>
      <c r="G19" s="7"/>
      <c r="H19" s="7"/>
    </row>
    <row r="20" spans="1:8" ht="15.75" customHeight="1">
      <c r="A20" s="8">
        <v>19</v>
      </c>
      <c r="B20" s="17">
        <v>10</v>
      </c>
      <c r="C20" s="17">
        <v>9.5</v>
      </c>
      <c r="D20" s="6">
        <f t="shared" si="0"/>
        <v>1.0526315789473684</v>
      </c>
      <c r="E20" s="7"/>
      <c r="F20" s="7"/>
      <c r="G20" s="7"/>
      <c r="H20" s="7"/>
    </row>
    <row r="21" spans="1:8" ht="15.75" customHeight="1">
      <c r="A21" s="8">
        <v>20</v>
      </c>
      <c r="B21" s="17">
        <v>10.5</v>
      </c>
      <c r="C21" s="17">
        <v>10.5</v>
      </c>
      <c r="D21" s="6">
        <f t="shared" si="0"/>
        <v>1</v>
      </c>
      <c r="E21" s="7"/>
      <c r="F21" s="7"/>
      <c r="G21" s="7"/>
      <c r="H21" s="7"/>
    </row>
    <row r="22" spans="1:8" ht="15.75" customHeight="1">
      <c r="A22" s="8">
        <v>21</v>
      </c>
      <c r="B22" s="17">
        <v>11</v>
      </c>
      <c r="C22" s="17">
        <v>11.5</v>
      </c>
      <c r="D22" s="6">
        <f t="shared" si="0"/>
        <v>0.95652173913043481</v>
      </c>
      <c r="E22" s="7"/>
      <c r="F22" s="7"/>
      <c r="G22" s="7"/>
      <c r="H22" s="7"/>
    </row>
    <row r="23" spans="1:8" ht="15.75" customHeight="1">
      <c r="A23" s="8">
        <v>22</v>
      </c>
      <c r="B23" s="17">
        <v>11</v>
      </c>
      <c r="C23" s="17">
        <v>11</v>
      </c>
      <c r="D23" s="6">
        <f t="shared" si="0"/>
        <v>1</v>
      </c>
      <c r="E23" s="7"/>
      <c r="F23" s="7"/>
      <c r="G23" s="7"/>
      <c r="H23" s="7"/>
    </row>
    <row r="24" spans="1:8" ht="15.75" customHeight="1">
      <c r="A24" s="8">
        <v>23</v>
      </c>
      <c r="B24" s="17">
        <v>10.5</v>
      </c>
      <c r="C24" s="17">
        <v>10</v>
      </c>
      <c r="D24" s="6">
        <f t="shared" si="0"/>
        <v>1.05</v>
      </c>
      <c r="E24" s="7"/>
      <c r="F24" s="7"/>
      <c r="G24" s="7"/>
      <c r="H24" s="7"/>
    </row>
    <row r="25" spans="1:8" ht="15.75" customHeight="1">
      <c r="A25" s="8">
        <v>24</v>
      </c>
      <c r="B25" s="17">
        <v>10.5</v>
      </c>
      <c r="C25" s="17">
        <v>10.5</v>
      </c>
      <c r="D25" s="6">
        <f t="shared" si="0"/>
        <v>1</v>
      </c>
      <c r="E25" s="7"/>
      <c r="F25" s="7"/>
      <c r="G25" s="7"/>
      <c r="H25" s="7"/>
    </row>
    <row r="26" spans="1:8" ht="15.75" customHeight="1">
      <c r="A26" s="8">
        <v>25</v>
      </c>
      <c r="B26" s="17">
        <v>11.5</v>
      </c>
      <c r="C26" s="17">
        <v>11.5</v>
      </c>
      <c r="D26" s="6">
        <f t="shared" si="0"/>
        <v>1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10.74</v>
      </c>
      <c r="C27" s="5">
        <f t="shared" si="1"/>
        <v>10.72</v>
      </c>
      <c r="D27" s="9">
        <f t="shared" si="1"/>
        <v>1.0022640623297374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7.5</v>
      </c>
      <c r="C28" s="5">
        <f t="shared" si="2"/>
        <v>8</v>
      </c>
      <c r="D28" s="9">
        <f t="shared" si="2"/>
        <v>0.9375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12.5</v>
      </c>
      <c r="C29" s="5">
        <f t="shared" si="3"/>
        <v>12.5</v>
      </c>
      <c r="D29" s="9">
        <f t="shared" si="3"/>
        <v>1.0526315789473684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55</v>
      </c>
      <c r="C33" s="17">
        <v>16</v>
      </c>
      <c r="D33" s="13">
        <v>2</v>
      </c>
      <c r="E33" s="17">
        <v>5.5</v>
      </c>
      <c r="F33" s="7"/>
      <c r="G33" s="7"/>
      <c r="H33" s="7"/>
    </row>
    <row r="34" spans="1:8" ht="15.75" customHeight="1">
      <c r="A34" s="4">
        <v>2</v>
      </c>
      <c r="B34" s="17">
        <v>37.5</v>
      </c>
      <c r="C34" s="17">
        <v>16.5</v>
      </c>
      <c r="D34" s="13">
        <v>4</v>
      </c>
      <c r="E34" s="17">
        <v>5</v>
      </c>
      <c r="F34" s="7"/>
      <c r="G34" s="7"/>
      <c r="H34" s="7"/>
    </row>
    <row r="35" spans="1:8" ht="15.75" customHeight="1">
      <c r="A35" s="4">
        <v>3</v>
      </c>
      <c r="B35" s="17">
        <v>50</v>
      </c>
      <c r="C35" s="17">
        <v>16</v>
      </c>
      <c r="D35" s="13">
        <v>2</v>
      </c>
      <c r="E35" s="14">
        <v>5</v>
      </c>
      <c r="F35" s="7"/>
      <c r="G35" s="7"/>
      <c r="H35" s="7"/>
    </row>
    <row r="36" spans="1:8" ht="15.75" customHeight="1">
      <c r="A36" s="4">
        <v>4</v>
      </c>
      <c r="B36" s="17">
        <v>44.5</v>
      </c>
      <c r="C36" s="17">
        <v>17</v>
      </c>
      <c r="D36" s="13">
        <v>4</v>
      </c>
      <c r="E36" s="17">
        <v>6.5</v>
      </c>
      <c r="F36" s="7"/>
      <c r="G36" s="7"/>
      <c r="H36" s="7"/>
    </row>
    <row r="37" spans="1:8" ht="15.75" customHeight="1">
      <c r="A37" s="4">
        <v>5</v>
      </c>
      <c r="B37" s="17">
        <v>48</v>
      </c>
      <c r="C37" s="17">
        <v>15.5</v>
      </c>
      <c r="D37" s="13">
        <v>2</v>
      </c>
      <c r="E37" s="17">
        <v>5</v>
      </c>
      <c r="F37" s="7"/>
      <c r="G37" s="7"/>
      <c r="H37" s="7"/>
    </row>
    <row r="38" spans="1:8" ht="15.75" customHeight="1">
      <c r="A38" s="4">
        <v>6</v>
      </c>
      <c r="B38" s="17">
        <v>41</v>
      </c>
      <c r="C38" s="17">
        <v>15.5</v>
      </c>
      <c r="D38" s="13">
        <v>4</v>
      </c>
      <c r="E38" s="17">
        <v>5.5</v>
      </c>
      <c r="F38" s="7"/>
      <c r="G38" s="7"/>
      <c r="H38" s="7"/>
    </row>
    <row r="39" spans="1:8" ht="15.75" customHeight="1">
      <c r="A39" s="4">
        <v>7</v>
      </c>
      <c r="B39" s="17">
        <v>41</v>
      </c>
      <c r="C39" s="17">
        <v>17</v>
      </c>
      <c r="D39" s="13">
        <v>2</v>
      </c>
      <c r="E39" s="17">
        <v>6.5</v>
      </c>
      <c r="F39" s="7"/>
      <c r="G39" s="7"/>
      <c r="H39" s="7"/>
    </row>
    <row r="40" spans="1:8" ht="15.75" customHeight="1">
      <c r="A40" s="4">
        <v>8</v>
      </c>
      <c r="B40" s="17">
        <v>53</v>
      </c>
      <c r="C40" s="17">
        <v>15.5</v>
      </c>
      <c r="D40" s="13">
        <v>2</v>
      </c>
      <c r="E40" s="17">
        <v>5</v>
      </c>
      <c r="F40" s="7"/>
      <c r="G40" s="7"/>
      <c r="H40" s="7"/>
    </row>
    <row r="41" spans="1:8" ht="15.75" customHeight="1">
      <c r="A41" s="4">
        <v>9</v>
      </c>
      <c r="B41" s="17">
        <v>51</v>
      </c>
      <c r="C41" s="17">
        <v>16.5</v>
      </c>
      <c r="D41" s="13">
        <v>4</v>
      </c>
      <c r="E41" s="17">
        <v>7</v>
      </c>
      <c r="F41" s="7"/>
      <c r="G41" s="7"/>
      <c r="H41" s="7"/>
    </row>
    <row r="42" spans="1:8" ht="15.75" customHeight="1">
      <c r="A42" s="4">
        <v>10</v>
      </c>
      <c r="B42" s="17">
        <v>50</v>
      </c>
      <c r="C42" s="17">
        <v>15.5</v>
      </c>
      <c r="D42" s="13">
        <v>4</v>
      </c>
      <c r="E42" s="17">
        <v>5.5</v>
      </c>
      <c r="F42" s="7"/>
      <c r="G42" s="7"/>
      <c r="H42" s="7"/>
    </row>
    <row r="43" spans="1:8" ht="15.75" customHeight="1">
      <c r="A43" s="8">
        <v>11</v>
      </c>
      <c r="B43" s="17">
        <v>34.5</v>
      </c>
      <c r="C43" s="17">
        <v>14.5</v>
      </c>
      <c r="D43" s="13">
        <v>4</v>
      </c>
      <c r="E43" s="17">
        <v>5</v>
      </c>
      <c r="F43" s="7"/>
      <c r="G43" s="14" t="s">
        <v>288</v>
      </c>
      <c r="H43" s="7"/>
    </row>
    <row r="44" spans="1:8" ht="15.75" customHeight="1">
      <c r="A44" s="8">
        <v>12</v>
      </c>
      <c r="B44" s="1">
        <v>38.5</v>
      </c>
      <c r="C44" s="1">
        <v>14</v>
      </c>
      <c r="D44" s="12">
        <v>4</v>
      </c>
      <c r="E44" s="1">
        <v>5.5</v>
      </c>
      <c r="F44" s="7"/>
      <c r="G44" s="7"/>
      <c r="H44" s="7"/>
    </row>
    <row r="45" spans="1:8" ht="15.75" customHeight="1">
      <c r="A45" s="8">
        <v>13</v>
      </c>
      <c r="B45" s="1">
        <v>45.5</v>
      </c>
      <c r="C45" s="1">
        <v>14.5</v>
      </c>
      <c r="D45" s="12">
        <v>4</v>
      </c>
      <c r="E45" s="1">
        <v>7.5</v>
      </c>
      <c r="F45" s="7"/>
      <c r="G45" s="7"/>
      <c r="H45" s="7"/>
    </row>
    <row r="46" spans="1:8" ht="15.75" customHeight="1">
      <c r="A46" s="8">
        <v>14</v>
      </c>
      <c r="B46" s="1">
        <v>49.5</v>
      </c>
      <c r="C46" s="1">
        <v>15.5</v>
      </c>
      <c r="D46" s="12">
        <v>4</v>
      </c>
      <c r="E46" s="1">
        <v>7</v>
      </c>
      <c r="F46" s="7"/>
      <c r="G46" s="7"/>
      <c r="H46" s="7"/>
    </row>
    <row r="47" spans="1:8" ht="15.75" customHeight="1">
      <c r="A47" s="8">
        <v>15</v>
      </c>
      <c r="B47" s="1">
        <v>48.5</v>
      </c>
      <c r="C47" s="1">
        <v>12.5</v>
      </c>
      <c r="D47" s="12">
        <v>2</v>
      </c>
      <c r="E47" s="1">
        <v>5</v>
      </c>
      <c r="F47" s="7"/>
      <c r="G47" s="7"/>
      <c r="H47" s="7"/>
    </row>
    <row r="48" spans="1:8" ht="15.75" customHeight="1">
      <c r="A48" s="8">
        <v>16</v>
      </c>
      <c r="B48" s="1">
        <v>46.5</v>
      </c>
      <c r="C48" s="1">
        <v>16</v>
      </c>
      <c r="D48" s="12">
        <v>4</v>
      </c>
      <c r="E48" s="1">
        <v>5.5</v>
      </c>
      <c r="F48" s="7"/>
      <c r="G48" s="7"/>
      <c r="H48" s="7"/>
    </row>
    <row r="49" spans="1:8" ht="15.75" customHeight="1">
      <c r="A49" s="8">
        <v>17</v>
      </c>
      <c r="B49" s="1">
        <v>45.5</v>
      </c>
      <c r="C49" s="1">
        <v>16</v>
      </c>
      <c r="D49" s="12">
        <v>4</v>
      </c>
      <c r="E49" s="1">
        <v>6</v>
      </c>
      <c r="F49" s="7"/>
      <c r="G49" s="7"/>
      <c r="H49" s="7"/>
    </row>
    <row r="50" spans="1:8" ht="15.75" customHeight="1">
      <c r="A50" s="8">
        <v>18</v>
      </c>
      <c r="B50" s="1">
        <v>52</v>
      </c>
      <c r="C50" s="1">
        <v>16</v>
      </c>
      <c r="D50" s="12">
        <v>4</v>
      </c>
      <c r="E50" s="1">
        <v>5</v>
      </c>
      <c r="F50" s="7"/>
      <c r="G50" s="7"/>
      <c r="H50" s="14" t="s">
        <v>289</v>
      </c>
    </row>
    <row r="51" spans="1:8" ht="15.75" customHeight="1">
      <c r="A51" s="8">
        <v>19</v>
      </c>
      <c r="B51" s="1">
        <v>48</v>
      </c>
      <c r="C51" s="1">
        <v>13</v>
      </c>
      <c r="D51" s="12">
        <v>4</v>
      </c>
      <c r="E51" s="1">
        <v>6.5</v>
      </c>
      <c r="F51" s="7"/>
      <c r="G51" s="7"/>
      <c r="H51" s="7"/>
    </row>
    <row r="52" spans="1:8" ht="15.75" customHeight="1">
      <c r="A52" s="8">
        <v>20</v>
      </c>
      <c r="B52" s="17">
        <v>53</v>
      </c>
      <c r="C52" s="17">
        <v>16</v>
      </c>
      <c r="D52" s="13">
        <v>2</v>
      </c>
      <c r="E52" s="14">
        <v>6</v>
      </c>
      <c r="F52" s="7"/>
      <c r="G52" s="7"/>
      <c r="H52" s="7"/>
    </row>
    <row r="53" spans="1:8" ht="15.75" customHeight="1">
      <c r="A53" s="8">
        <v>21</v>
      </c>
      <c r="B53" s="17">
        <v>45</v>
      </c>
      <c r="C53" s="17">
        <v>15.5</v>
      </c>
      <c r="D53" s="13">
        <v>4</v>
      </c>
      <c r="E53" s="17">
        <v>7</v>
      </c>
      <c r="F53" s="7"/>
      <c r="G53" s="7"/>
      <c r="H53" s="7"/>
    </row>
    <row r="54" spans="1:8" ht="14">
      <c r="A54" s="8">
        <v>22</v>
      </c>
      <c r="B54" s="17">
        <v>47</v>
      </c>
      <c r="C54" s="17">
        <v>14.5</v>
      </c>
      <c r="D54" s="13">
        <v>4</v>
      </c>
      <c r="E54" s="17">
        <v>6.5</v>
      </c>
      <c r="F54" s="7"/>
      <c r="G54" s="7"/>
      <c r="H54" s="7"/>
    </row>
    <row r="55" spans="1:8" ht="14">
      <c r="A55" s="8">
        <v>23</v>
      </c>
      <c r="B55" s="5"/>
      <c r="C55" s="5"/>
      <c r="D55" s="13">
        <v>2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2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46.56818181818182</v>
      </c>
      <c r="C58" s="5">
        <f t="shared" si="4"/>
        <v>15.409090909090908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34.5</v>
      </c>
      <c r="C59" s="5">
        <f t="shared" si="5"/>
        <v>12.5</v>
      </c>
      <c r="D59" s="11">
        <f t="shared" si="5"/>
        <v>2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53</v>
      </c>
      <c r="C60" s="5">
        <f t="shared" si="6"/>
        <v>17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14" t="s">
        <v>290</v>
      </c>
      <c r="C63" s="14" t="s">
        <v>172</v>
      </c>
      <c r="D63" s="18" t="s">
        <v>291</v>
      </c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4.5</v>
      </c>
      <c r="C65" s="14">
        <v>45.5</v>
      </c>
      <c r="D65" s="18">
        <v>46.5</v>
      </c>
      <c r="E65" s="7"/>
      <c r="F65" s="7"/>
      <c r="G65" s="7"/>
      <c r="H65" s="7"/>
    </row>
    <row r="66" spans="1:8" ht="14">
      <c r="A66" s="2"/>
      <c r="B66" s="14">
        <v>4.5</v>
      </c>
      <c r="C66" s="14">
        <v>32</v>
      </c>
      <c r="D66" s="18">
        <v>31.5</v>
      </c>
      <c r="E66" s="7"/>
      <c r="F66" s="7"/>
      <c r="G66" s="7"/>
      <c r="H66" s="7"/>
    </row>
    <row r="67" spans="1:8" ht="14">
      <c r="A67" s="2"/>
      <c r="B67" s="14">
        <v>6</v>
      </c>
      <c r="C67" s="14">
        <v>34</v>
      </c>
      <c r="D67" s="18">
        <v>32</v>
      </c>
      <c r="E67" s="7"/>
      <c r="F67" s="7"/>
      <c r="G67" s="7"/>
      <c r="H67" s="7"/>
    </row>
    <row r="68" spans="1:8" ht="14">
      <c r="A68" s="2" t="s">
        <v>292</v>
      </c>
      <c r="B68" s="14" t="s">
        <v>293</v>
      </c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 t="s">
        <v>294</v>
      </c>
      <c r="C71" s="7"/>
      <c r="D71" s="10"/>
      <c r="E71" s="7"/>
      <c r="F71" s="7"/>
      <c r="G71" s="7"/>
      <c r="H71" s="7"/>
    </row>
    <row r="72" spans="1:8" ht="13">
      <c r="D72" s="16"/>
    </row>
    <row r="73" spans="1:8" ht="13">
      <c r="D73" s="16"/>
    </row>
    <row r="74" spans="1:8" ht="13"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I1006"/>
  <sheetViews>
    <sheetView workbookViewId="0"/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11</v>
      </c>
      <c r="C2" s="17">
        <v>10</v>
      </c>
      <c r="D2" s="6">
        <f t="shared" ref="D2:D26" si="0">B2/C2</f>
        <v>1.1000000000000001</v>
      </c>
      <c r="E2" s="7"/>
      <c r="F2" s="14" t="s">
        <v>30</v>
      </c>
      <c r="G2" s="7"/>
      <c r="H2" s="7"/>
      <c r="I2" s="1" t="s">
        <v>295</v>
      </c>
    </row>
    <row r="3" spans="1:9" ht="15.75" customHeight="1">
      <c r="A3" s="4">
        <v>2</v>
      </c>
      <c r="B3" s="17">
        <v>10.5</v>
      </c>
      <c r="C3" s="17">
        <v>10.5</v>
      </c>
      <c r="D3" s="6">
        <f t="shared" si="0"/>
        <v>1</v>
      </c>
      <c r="E3" s="7"/>
      <c r="F3" s="7"/>
      <c r="G3" s="7"/>
      <c r="H3" s="7"/>
    </row>
    <row r="4" spans="1:9" ht="15.75" customHeight="1">
      <c r="A4" s="4">
        <v>3</v>
      </c>
      <c r="B4" s="17">
        <v>11</v>
      </c>
      <c r="C4" s="17">
        <v>10.5</v>
      </c>
      <c r="D4" s="6">
        <f t="shared" si="0"/>
        <v>1.0476190476190477</v>
      </c>
      <c r="E4" s="7"/>
      <c r="F4" s="7"/>
      <c r="G4" s="7"/>
      <c r="H4" s="7"/>
    </row>
    <row r="5" spans="1:9" ht="15.75" customHeight="1">
      <c r="A5" s="4">
        <v>4</v>
      </c>
      <c r="B5" s="17">
        <v>11.5</v>
      </c>
      <c r="C5" s="17">
        <v>11</v>
      </c>
      <c r="D5" s="6">
        <f t="shared" si="0"/>
        <v>1.0454545454545454</v>
      </c>
      <c r="E5" s="7"/>
      <c r="F5" s="7"/>
      <c r="G5" s="7"/>
      <c r="H5" s="7"/>
    </row>
    <row r="6" spans="1:9" ht="15.75" customHeight="1">
      <c r="A6" s="4">
        <v>5</v>
      </c>
      <c r="B6" s="17">
        <v>11.5</v>
      </c>
      <c r="C6" s="17">
        <v>11</v>
      </c>
      <c r="D6" s="6">
        <f t="shared" si="0"/>
        <v>1.0454545454545454</v>
      </c>
      <c r="E6" s="7"/>
      <c r="F6" s="7"/>
      <c r="G6" s="7"/>
      <c r="H6" s="7"/>
      <c r="I6" s="1" t="s">
        <v>296</v>
      </c>
    </row>
    <row r="7" spans="1:9" ht="15.75" customHeight="1">
      <c r="A7" s="4">
        <v>6</v>
      </c>
      <c r="B7" s="17">
        <v>11.5</v>
      </c>
      <c r="C7" s="17">
        <v>11</v>
      </c>
      <c r="D7" s="6">
        <f t="shared" si="0"/>
        <v>1.0454545454545454</v>
      </c>
      <c r="E7" s="7"/>
      <c r="F7" s="7"/>
      <c r="G7" s="14" t="s">
        <v>35</v>
      </c>
      <c r="H7" s="7"/>
    </row>
    <row r="8" spans="1:9" ht="15.75" customHeight="1">
      <c r="A8" s="4">
        <v>7</v>
      </c>
      <c r="B8" s="17">
        <v>12</v>
      </c>
      <c r="C8" s="17">
        <v>12.5</v>
      </c>
      <c r="D8" s="6">
        <f t="shared" si="0"/>
        <v>0.96</v>
      </c>
      <c r="E8" s="7"/>
      <c r="F8" s="7"/>
      <c r="G8" s="7"/>
      <c r="H8" s="7"/>
    </row>
    <row r="9" spans="1:9" ht="15.75" customHeight="1">
      <c r="A9" s="4">
        <v>8</v>
      </c>
      <c r="B9" s="17">
        <v>10</v>
      </c>
      <c r="C9" s="17">
        <v>10.5</v>
      </c>
      <c r="D9" s="6">
        <f t="shared" si="0"/>
        <v>0.95238095238095233</v>
      </c>
      <c r="E9" s="7"/>
      <c r="F9" s="7"/>
      <c r="G9" s="7"/>
      <c r="H9" s="7"/>
    </row>
    <row r="10" spans="1:9" ht="15.75" customHeight="1">
      <c r="A10" s="4">
        <v>9</v>
      </c>
      <c r="B10" s="17">
        <v>9.5</v>
      </c>
      <c r="C10" s="17">
        <v>9.5</v>
      </c>
      <c r="D10" s="6">
        <f t="shared" si="0"/>
        <v>1</v>
      </c>
      <c r="E10" s="7"/>
      <c r="F10" s="7"/>
      <c r="G10" s="7"/>
      <c r="H10" s="7"/>
    </row>
    <row r="11" spans="1:9" ht="15.75" customHeight="1">
      <c r="A11" s="4">
        <v>10</v>
      </c>
      <c r="B11" s="17">
        <v>11</v>
      </c>
      <c r="C11" s="17">
        <v>11.5</v>
      </c>
      <c r="D11" s="6">
        <f t="shared" si="0"/>
        <v>0.95652173913043481</v>
      </c>
      <c r="E11" s="7"/>
      <c r="F11" s="7"/>
      <c r="G11" s="7"/>
      <c r="H11" s="7"/>
    </row>
    <row r="12" spans="1:9" ht="15.75" customHeight="1">
      <c r="A12" s="8">
        <v>11</v>
      </c>
      <c r="B12" s="17">
        <v>12</v>
      </c>
      <c r="C12" s="17">
        <v>11</v>
      </c>
      <c r="D12" s="6">
        <f t="shared" si="0"/>
        <v>1.0909090909090908</v>
      </c>
      <c r="E12" s="7"/>
      <c r="F12" s="7"/>
      <c r="G12" s="7"/>
      <c r="H12" s="7"/>
    </row>
    <row r="13" spans="1:9" ht="15.75" customHeight="1">
      <c r="A13" s="8">
        <v>12</v>
      </c>
      <c r="B13" s="17">
        <v>10</v>
      </c>
      <c r="C13" s="17">
        <v>10</v>
      </c>
      <c r="D13" s="6">
        <f t="shared" si="0"/>
        <v>1</v>
      </c>
      <c r="E13" s="7"/>
      <c r="F13" s="7"/>
      <c r="G13" s="7"/>
      <c r="H13" s="7"/>
    </row>
    <row r="14" spans="1:9" ht="15.75" customHeight="1">
      <c r="A14" s="8">
        <v>13</v>
      </c>
      <c r="B14" s="17">
        <v>10</v>
      </c>
      <c r="C14" s="17">
        <v>10</v>
      </c>
      <c r="D14" s="6">
        <f t="shared" si="0"/>
        <v>1</v>
      </c>
      <c r="E14" s="7"/>
      <c r="F14" s="7"/>
      <c r="G14" s="7"/>
      <c r="H14" s="7"/>
    </row>
    <row r="15" spans="1:9" ht="15.75" customHeight="1">
      <c r="A15" s="8">
        <v>14</v>
      </c>
      <c r="B15" s="5"/>
      <c r="C15" s="5"/>
      <c r="D15" s="6" t="e">
        <f t="shared" si="0"/>
        <v>#DIV/0!</v>
      </c>
      <c r="E15" s="7"/>
      <c r="F15" s="7"/>
      <c r="G15" s="7"/>
      <c r="H15" s="7"/>
    </row>
    <row r="16" spans="1:9" ht="15.75" customHeight="1">
      <c r="A16" s="8">
        <v>15</v>
      </c>
      <c r="B16" s="5"/>
      <c r="C16" s="5"/>
      <c r="D16" s="6" t="e">
        <f t="shared" si="0"/>
        <v>#DIV/0!</v>
      </c>
      <c r="E16" s="7"/>
      <c r="F16" s="7"/>
      <c r="G16" s="7"/>
      <c r="H16" s="7"/>
    </row>
    <row r="17" spans="1:8" ht="15.75" customHeight="1">
      <c r="A17" s="8">
        <v>16</v>
      </c>
      <c r="B17" s="5"/>
      <c r="C17" s="5"/>
      <c r="D17" s="6" t="e">
        <f t="shared" si="0"/>
        <v>#DIV/0!</v>
      </c>
      <c r="E17" s="7"/>
      <c r="F17" s="7"/>
      <c r="G17" s="7"/>
      <c r="H17" s="7"/>
    </row>
    <row r="18" spans="1:8" ht="15.75" customHeight="1">
      <c r="A18" s="8">
        <v>17</v>
      </c>
      <c r="B18" s="5"/>
      <c r="C18" s="5"/>
      <c r="D18" s="6" t="e">
        <f t="shared" si="0"/>
        <v>#DIV/0!</v>
      </c>
      <c r="E18" s="7"/>
      <c r="F18" s="7"/>
      <c r="G18" s="7"/>
      <c r="H18" s="7"/>
    </row>
    <row r="19" spans="1:8" ht="15.75" customHeight="1">
      <c r="A19" s="8">
        <v>18</v>
      </c>
      <c r="B19" s="5"/>
      <c r="C19" s="5"/>
      <c r="D19" s="6" t="e">
        <f t="shared" si="0"/>
        <v>#DIV/0!</v>
      </c>
      <c r="E19" s="7"/>
      <c r="F19" s="7"/>
      <c r="G19" s="7"/>
      <c r="H19" s="7"/>
    </row>
    <row r="20" spans="1:8" ht="15.75" customHeight="1">
      <c r="A20" s="8">
        <v>19</v>
      </c>
      <c r="B20" s="5"/>
      <c r="C20" s="5"/>
      <c r="D20" s="6" t="e">
        <f t="shared" si="0"/>
        <v>#DIV/0!</v>
      </c>
      <c r="E20" s="7"/>
      <c r="F20" s="7"/>
      <c r="G20" s="7"/>
      <c r="H20" s="7"/>
    </row>
    <row r="21" spans="1:8" ht="15.75" customHeight="1">
      <c r="A21" s="8">
        <v>20</v>
      </c>
      <c r="B21" s="5"/>
      <c r="C21" s="5"/>
      <c r="D21" s="6" t="e">
        <f t="shared" si="0"/>
        <v>#DIV/0!</v>
      </c>
      <c r="E21" s="7"/>
      <c r="F21" s="7"/>
      <c r="G21" s="7"/>
      <c r="H21" s="7"/>
    </row>
    <row r="22" spans="1:8" ht="15.75" customHeight="1">
      <c r="A22" s="8">
        <v>21</v>
      </c>
      <c r="B22" s="5"/>
      <c r="C22" s="5"/>
      <c r="D22" s="6" t="e">
        <f t="shared" si="0"/>
        <v>#DIV/0!</v>
      </c>
      <c r="E22" s="7"/>
      <c r="F22" s="7"/>
      <c r="G22" s="7"/>
      <c r="H22" s="7"/>
    </row>
    <row r="23" spans="1:8" ht="15.75" customHeight="1">
      <c r="A23" s="8">
        <v>22</v>
      </c>
      <c r="B23" s="5"/>
      <c r="C23" s="5"/>
      <c r="D23" s="6" t="e">
        <f t="shared" si="0"/>
        <v>#DIV/0!</v>
      </c>
      <c r="E23" s="7"/>
      <c r="F23" s="7"/>
      <c r="G23" s="7"/>
      <c r="H23" s="7"/>
    </row>
    <row r="24" spans="1:8" ht="15.75" customHeight="1">
      <c r="A24" s="8">
        <v>23</v>
      </c>
      <c r="B24" s="5"/>
      <c r="C24" s="5"/>
      <c r="D24" s="6" t="e">
        <f t="shared" si="0"/>
        <v>#DIV/0!</v>
      </c>
      <c r="E24" s="7"/>
      <c r="F24" s="7"/>
      <c r="G24" s="7"/>
      <c r="H24" s="7"/>
    </row>
    <row r="25" spans="1:8" ht="15.75" customHeight="1">
      <c r="A25" s="8">
        <v>24</v>
      </c>
      <c r="B25" s="5"/>
      <c r="C25" s="5"/>
      <c r="D25" s="6" t="e">
        <f t="shared" si="0"/>
        <v>#DIV/0!</v>
      </c>
      <c r="E25" s="7"/>
      <c r="F25" s="7"/>
      <c r="G25" s="7"/>
      <c r="H25" s="7"/>
    </row>
    <row r="26" spans="1:8" ht="15.75" customHeight="1">
      <c r="A26" s="8">
        <v>25</v>
      </c>
      <c r="B26" s="5"/>
      <c r="C26" s="5"/>
      <c r="D26" s="6" t="e">
        <f t="shared" si="0"/>
        <v>#DIV/0!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10.884615384615385</v>
      </c>
      <c r="C27" s="5">
        <f t="shared" si="1"/>
        <v>10.692307692307692</v>
      </c>
      <c r="D27" s="9" t="e">
        <f t="shared" si="1"/>
        <v>#DIV/0!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9.5</v>
      </c>
      <c r="C28" s="5">
        <f t="shared" si="2"/>
        <v>9.5</v>
      </c>
      <c r="D28" s="9" t="e">
        <f t="shared" si="2"/>
        <v>#DIV/0!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12</v>
      </c>
      <c r="C29" s="5">
        <f t="shared" si="3"/>
        <v>12.5</v>
      </c>
      <c r="D29" s="9" t="e">
        <f t="shared" si="3"/>
        <v>#DIV/0!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41</v>
      </c>
      <c r="C33" s="17">
        <v>15</v>
      </c>
      <c r="D33" s="13">
        <v>2</v>
      </c>
      <c r="E33" s="17">
        <v>4.5</v>
      </c>
      <c r="F33" s="14" t="s">
        <v>297</v>
      </c>
      <c r="G33" s="7"/>
      <c r="H33" s="7"/>
    </row>
    <row r="34" spans="1:8" ht="15.75" customHeight="1">
      <c r="A34" s="4">
        <v>2</v>
      </c>
      <c r="B34" s="17">
        <v>37</v>
      </c>
      <c r="C34" s="17">
        <v>15.5</v>
      </c>
      <c r="D34" s="13">
        <v>2</v>
      </c>
      <c r="E34" s="17">
        <v>3</v>
      </c>
      <c r="F34" s="7"/>
      <c r="G34" s="7"/>
      <c r="H34" s="7"/>
    </row>
    <row r="35" spans="1:8" ht="15.75" customHeight="1">
      <c r="A35" s="4">
        <v>3</v>
      </c>
      <c r="B35" s="17">
        <v>53</v>
      </c>
      <c r="C35" s="17">
        <v>16.5</v>
      </c>
      <c r="D35" s="13">
        <v>2</v>
      </c>
      <c r="E35" s="14">
        <v>5</v>
      </c>
      <c r="F35" s="7"/>
      <c r="G35" s="7"/>
      <c r="H35" s="7"/>
    </row>
    <row r="36" spans="1:8" ht="15.75" customHeight="1">
      <c r="A36" s="4">
        <v>4</v>
      </c>
      <c r="B36" s="17">
        <v>48</v>
      </c>
      <c r="C36" s="17">
        <v>17.5</v>
      </c>
      <c r="D36" s="13">
        <v>2</v>
      </c>
      <c r="E36" s="17">
        <v>7</v>
      </c>
      <c r="F36" s="7"/>
      <c r="G36" s="7"/>
      <c r="H36" s="7"/>
    </row>
    <row r="37" spans="1:8" ht="15.75" customHeight="1">
      <c r="A37" s="4">
        <v>5</v>
      </c>
      <c r="B37" s="17">
        <v>56</v>
      </c>
      <c r="C37" s="17">
        <v>17</v>
      </c>
      <c r="D37" s="13">
        <v>2</v>
      </c>
      <c r="E37" s="17">
        <v>5.5</v>
      </c>
      <c r="F37" s="7"/>
      <c r="G37" s="7"/>
      <c r="H37" s="7"/>
    </row>
    <row r="38" spans="1:8" ht="15.75" customHeight="1">
      <c r="A38" s="4">
        <v>6</v>
      </c>
      <c r="B38" s="17">
        <v>53</v>
      </c>
      <c r="C38" s="17">
        <v>16</v>
      </c>
      <c r="D38" s="13">
        <v>2</v>
      </c>
      <c r="E38" s="17">
        <v>4</v>
      </c>
      <c r="F38" s="7"/>
      <c r="G38" s="7"/>
      <c r="H38" s="7"/>
    </row>
    <row r="39" spans="1:8" ht="15.75" customHeight="1">
      <c r="A39" s="4">
        <v>7</v>
      </c>
      <c r="B39" s="17">
        <v>49</v>
      </c>
      <c r="C39" s="17">
        <v>16</v>
      </c>
      <c r="D39" s="13">
        <v>2</v>
      </c>
      <c r="E39" s="17">
        <v>3.5</v>
      </c>
      <c r="F39" s="7"/>
      <c r="G39" s="7"/>
      <c r="H39" s="7"/>
    </row>
    <row r="40" spans="1:8" ht="15.75" customHeight="1">
      <c r="A40" s="4">
        <v>8</v>
      </c>
      <c r="B40" s="17">
        <v>56</v>
      </c>
      <c r="C40" s="17">
        <v>15</v>
      </c>
      <c r="D40" s="13">
        <v>2</v>
      </c>
      <c r="E40" s="17">
        <v>3</v>
      </c>
      <c r="F40" s="7"/>
      <c r="G40" s="7"/>
      <c r="H40" s="7"/>
    </row>
    <row r="41" spans="1:8" ht="15.75" customHeight="1">
      <c r="A41" s="4">
        <v>9</v>
      </c>
      <c r="B41" s="17">
        <v>47.5</v>
      </c>
      <c r="C41" s="17">
        <v>14.5</v>
      </c>
      <c r="D41" s="13">
        <v>2</v>
      </c>
      <c r="E41" s="17">
        <v>2</v>
      </c>
      <c r="F41" s="7"/>
      <c r="G41" s="7"/>
      <c r="H41" s="7"/>
    </row>
    <row r="42" spans="1:8" ht="15.75" customHeight="1">
      <c r="A42" s="4">
        <v>10</v>
      </c>
      <c r="B42" s="17">
        <v>54</v>
      </c>
      <c r="C42" s="17">
        <v>17.5</v>
      </c>
      <c r="D42" s="13">
        <v>2</v>
      </c>
      <c r="E42" s="17">
        <v>5.5</v>
      </c>
      <c r="F42" s="7"/>
      <c r="G42" s="7"/>
      <c r="H42" s="7"/>
    </row>
    <row r="43" spans="1:8" ht="15.75" customHeight="1">
      <c r="A43" s="8">
        <v>11</v>
      </c>
      <c r="B43" s="17">
        <v>48</v>
      </c>
      <c r="C43" s="17">
        <v>17</v>
      </c>
      <c r="D43" s="13">
        <v>2</v>
      </c>
      <c r="E43" s="17">
        <v>6</v>
      </c>
      <c r="F43" s="7"/>
      <c r="G43" s="7"/>
      <c r="H43" s="7"/>
    </row>
    <row r="44" spans="1:8" ht="15.75" customHeight="1">
      <c r="A44" s="8">
        <v>12</v>
      </c>
      <c r="B44" s="1">
        <v>49</v>
      </c>
      <c r="C44" s="1">
        <v>16</v>
      </c>
      <c r="D44" s="12">
        <v>2</v>
      </c>
      <c r="E44" s="1">
        <v>2</v>
      </c>
      <c r="F44" s="7"/>
      <c r="G44" s="7"/>
      <c r="H44" s="7"/>
    </row>
    <row r="45" spans="1:8" ht="15.75" customHeight="1">
      <c r="A45" s="8">
        <v>13</v>
      </c>
      <c r="B45" s="1">
        <v>42.5</v>
      </c>
      <c r="C45" s="1">
        <v>14.5</v>
      </c>
      <c r="D45" s="12">
        <v>2</v>
      </c>
      <c r="E45" s="1">
        <v>7.5</v>
      </c>
      <c r="F45" s="7"/>
      <c r="G45" s="7"/>
      <c r="H45" s="7"/>
    </row>
    <row r="46" spans="1:8" ht="15.75" customHeight="1">
      <c r="A46" s="8">
        <v>14</v>
      </c>
      <c r="B46" s="1">
        <v>57</v>
      </c>
      <c r="C46" s="1">
        <v>16</v>
      </c>
      <c r="D46" s="12"/>
      <c r="F46" s="7"/>
      <c r="G46" s="7"/>
      <c r="H46" s="7"/>
    </row>
    <row r="47" spans="1:8" ht="15.75" customHeight="1">
      <c r="A47" s="8">
        <v>15</v>
      </c>
      <c r="B47" s="1">
        <v>48</v>
      </c>
      <c r="C47" s="1">
        <v>14.5</v>
      </c>
      <c r="D47" s="12">
        <v>4</v>
      </c>
      <c r="F47" s="7"/>
      <c r="G47" s="7"/>
      <c r="H47" s="14" t="s">
        <v>298</v>
      </c>
    </row>
    <row r="48" spans="1:8" ht="15.75" customHeight="1">
      <c r="A48" s="8">
        <v>16</v>
      </c>
      <c r="D48" s="12">
        <v>2</v>
      </c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14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49.266666666666666</v>
      </c>
      <c r="C58" s="5">
        <f t="shared" si="4"/>
        <v>15.9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37</v>
      </c>
      <c r="C59" s="5">
        <f t="shared" si="5"/>
        <v>14.5</v>
      </c>
      <c r="D59" s="11">
        <f t="shared" si="5"/>
        <v>2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57</v>
      </c>
      <c r="C60" s="5">
        <f t="shared" si="6"/>
        <v>17.5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3">
      <c r="D72" s="16"/>
    </row>
    <row r="73" spans="1:8" ht="13">
      <c r="D73" s="16"/>
    </row>
    <row r="74" spans="1:8" ht="13"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AR83"/>
  <sheetViews>
    <sheetView workbookViewId="0"/>
  </sheetViews>
  <sheetFormatPr baseColWidth="10" defaultColWidth="12.6640625" defaultRowHeight="15.75" customHeight="1"/>
  <cols>
    <col min="1" max="1" width="15.1640625" customWidth="1"/>
  </cols>
  <sheetData>
    <row r="1" spans="1:44" ht="15.75" customHeight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J1" s="20"/>
      <c r="K1" s="1" t="s">
        <v>299</v>
      </c>
      <c r="L1" s="7"/>
      <c r="M1" s="7"/>
      <c r="N1" s="7"/>
      <c r="O1" s="7"/>
      <c r="P1" s="7"/>
      <c r="Q1" s="7"/>
      <c r="S1" s="20"/>
      <c r="T1" s="7"/>
      <c r="U1" s="7"/>
      <c r="V1" s="7"/>
      <c r="W1" s="7"/>
      <c r="X1" s="7"/>
      <c r="Y1" s="7"/>
      <c r="Z1" s="7"/>
      <c r="AA1" s="7"/>
      <c r="AB1" s="20"/>
      <c r="AC1" s="7"/>
      <c r="AD1" s="7"/>
      <c r="AE1" s="7"/>
      <c r="AF1" s="7"/>
      <c r="AG1" s="7"/>
      <c r="AH1" s="7"/>
      <c r="AI1" s="7"/>
      <c r="AK1" s="20"/>
      <c r="AL1" s="7"/>
      <c r="AM1" s="7"/>
      <c r="AN1" s="7"/>
      <c r="AO1" s="7"/>
      <c r="AP1" s="7"/>
      <c r="AQ1" s="7"/>
      <c r="AR1" s="7"/>
    </row>
    <row r="2" spans="1:44" ht="15.75" customHeight="1">
      <c r="A2" s="4">
        <v>1</v>
      </c>
      <c r="B2" s="17">
        <v>9.5</v>
      </c>
      <c r="C2" s="17">
        <v>8.5</v>
      </c>
      <c r="D2" s="6">
        <f t="shared" ref="D2:D26" si="0">B2/C2</f>
        <v>1.1176470588235294</v>
      </c>
      <c r="E2" s="7"/>
      <c r="F2" s="7"/>
      <c r="G2" s="14" t="s">
        <v>29</v>
      </c>
      <c r="H2" s="7"/>
      <c r="J2" s="14"/>
      <c r="K2" s="1" t="s">
        <v>158</v>
      </c>
      <c r="L2" s="7"/>
      <c r="M2" s="7"/>
      <c r="N2" s="7"/>
      <c r="O2" s="7"/>
      <c r="P2" s="7"/>
      <c r="Q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K2" s="7"/>
      <c r="AL2" s="7"/>
      <c r="AM2" s="7"/>
      <c r="AN2" s="7"/>
      <c r="AO2" s="7"/>
      <c r="AP2" s="7"/>
      <c r="AQ2" s="7"/>
      <c r="AR2" s="7"/>
    </row>
    <row r="3" spans="1:44" ht="15.75" customHeight="1">
      <c r="A3" s="4">
        <v>2</v>
      </c>
      <c r="B3" s="17">
        <v>10</v>
      </c>
      <c r="C3" s="17">
        <v>8.5</v>
      </c>
      <c r="D3" s="6">
        <f t="shared" si="0"/>
        <v>1.1764705882352942</v>
      </c>
      <c r="E3" s="7"/>
      <c r="F3" s="7"/>
      <c r="G3" s="7"/>
      <c r="H3" s="7"/>
      <c r="J3" s="5"/>
      <c r="K3" s="1" t="s">
        <v>162</v>
      </c>
      <c r="L3" s="5"/>
      <c r="M3" s="5"/>
      <c r="N3" s="7"/>
      <c r="O3" s="7"/>
      <c r="P3" s="7"/>
      <c r="Q3" s="7"/>
      <c r="S3" s="5"/>
      <c r="T3" s="5"/>
      <c r="U3" s="5"/>
      <c r="V3" s="5"/>
      <c r="W3" s="7"/>
      <c r="X3" s="7"/>
      <c r="Y3" s="7"/>
      <c r="Z3" s="7"/>
      <c r="AA3" s="7"/>
      <c r="AB3" s="5"/>
      <c r="AC3" s="5"/>
      <c r="AD3" s="5"/>
      <c r="AE3" s="5"/>
      <c r="AF3" s="7"/>
      <c r="AG3" s="7"/>
      <c r="AH3" s="7"/>
      <c r="AI3" s="7"/>
      <c r="AK3" s="5"/>
      <c r="AL3" s="5"/>
      <c r="AM3" s="5"/>
      <c r="AN3" s="5"/>
      <c r="AO3" s="7"/>
      <c r="AP3" s="7"/>
      <c r="AQ3" s="7"/>
      <c r="AR3" s="7"/>
    </row>
    <row r="4" spans="1:44" ht="15.75" customHeight="1">
      <c r="A4" s="4">
        <v>3</v>
      </c>
      <c r="B4" s="17">
        <v>10</v>
      </c>
      <c r="C4" s="17">
        <v>10</v>
      </c>
      <c r="D4" s="6">
        <f t="shared" si="0"/>
        <v>1</v>
      </c>
      <c r="E4" s="7"/>
      <c r="F4" s="7"/>
      <c r="G4" s="7"/>
      <c r="H4" s="7"/>
      <c r="J4" s="5"/>
      <c r="K4" s="1" t="s">
        <v>164</v>
      </c>
      <c r="L4" s="5"/>
      <c r="M4" s="5"/>
      <c r="N4" s="7"/>
      <c r="O4" s="7"/>
      <c r="P4" s="7"/>
      <c r="Q4" s="7"/>
      <c r="S4" s="5"/>
      <c r="T4" s="5"/>
      <c r="U4" s="5"/>
      <c r="V4" s="5"/>
      <c r="W4" s="7"/>
      <c r="X4" s="7"/>
      <c r="Y4" s="7"/>
      <c r="Z4" s="7"/>
      <c r="AA4" s="7"/>
      <c r="AB4" s="5"/>
      <c r="AC4" s="5"/>
      <c r="AD4" s="5"/>
      <c r="AE4" s="5"/>
      <c r="AF4" s="7"/>
      <c r="AG4" s="7"/>
      <c r="AH4" s="7"/>
      <c r="AI4" s="7"/>
      <c r="AK4" s="5"/>
      <c r="AL4" s="5"/>
      <c r="AM4" s="5"/>
      <c r="AN4" s="5"/>
      <c r="AO4" s="7"/>
      <c r="AP4" s="7"/>
      <c r="AQ4" s="7"/>
      <c r="AR4" s="7"/>
    </row>
    <row r="5" spans="1:44" ht="15.75" customHeight="1">
      <c r="A5" s="4">
        <v>4</v>
      </c>
      <c r="B5" s="17">
        <v>9.5</v>
      </c>
      <c r="C5" s="17">
        <v>7.5</v>
      </c>
      <c r="D5" s="6">
        <f t="shared" si="0"/>
        <v>1.2666666666666666</v>
      </c>
      <c r="E5" s="7"/>
      <c r="F5" s="7"/>
      <c r="G5" s="14" t="s">
        <v>300</v>
      </c>
      <c r="H5" s="7"/>
      <c r="J5" s="5"/>
      <c r="K5" s="1" t="s">
        <v>163</v>
      </c>
      <c r="L5" s="5"/>
      <c r="M5" s="5"/>
      <c r="N5" s="7"/>
      <c r="O5" s="7"/>
      <c r="P5" s="7"/>
      <c r="Q5" s="7"/>
      <c r="S5" s="5"/>
      <c r="T5" s="5"/>
      <c r="U5" s="5"/>
      <c r="V5" s="5"/>
      <c r="W5" s="7"/>
      <c r="X5" s="7"/>
      <c r="Y5" s="7"/>
      <c r="Z5" s="7"/>
      <c r="AA5" s="7"/>
      <c r="AB5" s="5"/>
      <c r="AC5" s="5"/>
      <c r="AD5" s="5"/>
      <c r="AE5" s="5"/>
      <c r="AF5" s="7"/>
      <c r="AG5" s="7"/>
      <c r="AH5" s="7"/>
      <c r="AI5" s="7"/>
      <c r="AK5" s="5"/>
      <c r="AL5" s="5"/>
      <c r="AM5" s="5"/>
      <c r="AN5" s="5"/>
      <c r="AO5" s="7"/>
      <c r="AP5" s="7"/>
      <c r="AQ5" s="7"/>
      <c r="AR5" s="7"/>
    </row>
    <row r="6" spans="1:44" ht="15.75" customHeight="1">
      <c r="A6" s="4">
        <v>5</v>
      </c>
      <c r="B6" s="17">
        <v>9.5</v>
      </c>
      <c r="C6" s="17">
        <v>8.5</v>
      </c>
      <c r="D6" s="6">
        <f t="shared" si="0"/>
        <v>1.1176470588235294</v>
      </c>
      <c r="E6" s="7"/>
      <c r="F6" s="7"/>
      <c r="G6" s="14" t="s">
        <v>300</v>
      </c>
      <c r="H6" s="7"/>
      <c r="J6" s="5"/>
      <c r="K6" s="1" t="s">
        <v>301</v>
      </c>
      <c r="L6" s="5"/>
      <c r="M6" s="5"/>
      <c r="N6" s="7"/>
      <c r="O6" s="7"/>
      <c r="P6" s="7"/>
      <c r="Q6" s="7"/>
      <c r="S6" s="5"/>
      <c r="T6" s="5"/>
      <c r="U6" s="5"/>
      <c r="V6" s="5"/>
      <c r="W6" s="7"/>
      <c r="X6" s="7"/>
      <c r="Y6" s="7"/>
      <c r="Z6" s="7"/>
      <c r="AA6" s="7"/>
      <c r="AB6" s="5"/>
      <c r="AC6" s="5"/>
      <c r="AD6" s="5"/>
      <c r="AE6" s="5"/>
      <c r="AF6" s="7"/>
      <c r="AG6" s="7"/>
      <c r="AH6" s="7"/>
      <c r="AI6" s="7"/>
      <c r="AK6" s="5"/>
      <c r="AL6" s="5"/>
      <c r="AM6" s="5"/>
      <c r="AN6" s="5"/>
      <c r="AO6" s="7"/>
      <c r="AP6" s="7"/>
      <c r="AQ6" s="7"/>
      <c r="AR6" s="7"/>
    </row>
    <row r="7" spans="1:44" ht="15.75" customHeight="1">
      <c r="A7" s="4">
        <v>6</v>
      </c>
      <c r="B7" s="17">
        <v>10</v>
      </c>
      <c r="C7" s="17">
        <v>8.5</v>
      </c>
      <c r="D7" s="6">
        <f t="shared" si="0"/>
        <v>1.1764705882352942</v>
      </c>
      <c r="E7" s="7"/>
      <c r="F7" s="7"/>
      <c r="G7" s="14" t="s">
        <v>300</v>
      </c>
      <c r="H7" s="7"/>
      <c r="J7" s="5"/>
      <c r="K7" s="17"/>
      <c r="L7" s="5"/>
      <c r="M7" s="5"/>
      <c r="N7" s="7"/>
      <c r="O7" s="7"/>
      <c r="P7" s="7"/>
      <c r="Q7" s="7"/>
      <c r="S7" s="5"/>
      <c r="T7" s="5"/>
      <c r="U7" s="5"/>
      <c r="V7" s="5"/>
      <c r="W7" s="7"/>
      <c r="X7" s="7"/>
      <c r="Y7" s="7"/>
      <c r="Z7" s="7"/>
      <c r="AA7" s="7"/>
      <c r="AB7" s="5"/>
      <c r="AC7" s="5"/>
      <c r="AD7" s="5"/>
      <c r="AE7" s="5"/>
      <c r="AF7" s="7"/>
      <c r="AG7" s="7"/>
      <c r="AH7" s="7"/>
      <c r="AI7" s="7"/>
      <c r="AK7" s="5"/>
      <c r="AL7" s="5"/>
      <c r="AM7" s="5"/>
      <c r="AN7" s="5"/>
      <c r="AO7" s="7"/>
      <c r="AP7" s="7"/>
      <c r="AQ7" s="7"/>
      <c r="AR7" s="7"/>
    </row>
    <row r="8" spans="1:44" ht="15.75" customHeight="1">
      <c r="A8" s="4">
        <v>7</v>
      </c>
      <c r="B8" s="17">
        <v>10.5</v>
      </c>
      <c r="C8" s="17">
        <v>9.5</v>
      </c>
      <c r="D8" s="6">
        <f t="shared" si="0"/>
        <v>1.1052631578947369</v>
      </c>
      <c r="E8" s="7"/>
      <c r="F8" s="7"/>
      <c r="G8" s="14" t="s">
        <v>300</v>
      </c>
      <c r="H8" s="7"/>
      <c r="J8" s="5"/>
      <c r="K8" s="5"/>
      <c r="L8" s="5"/>
      <c r="M8" s="5"/>
      <c r="N8" s="7"/>
      <c r="O8" s="7"/>
      <c r="P8" s="7"/>
      <c r="Q8" s="7"/>
      <c r="S8" s="5"/>
      <c r="T8" s="5"/>
      <c r="U8" s="5"/>
      <c r="V8" s="5"/>
      <c r="W8" s="7"/>
      <c r="X8" s="7"/>
      <c r="Y8" s="7"/>
      <c r="Z8" s="7"/>
      <c r="AA8" s="7"/>
      <c r="AB8" s="5"/>
      <c r="AC8" s="5"/>
      <c r="AD8" s="5"/>
      <c r="AE8" s="5"/>
      <c r="AF8" s="7"/>
      <c r="AG8" s="7"/>
      <c r="AH8" s="7"/>
      <c r="AI8" s="7"/>
      <c r="AK8" s="5"/>
      <c r="AL8" s="5"/>
      <c r="AM8" s="5"/>
      <c r="AN8" s="5"/>
      <c r="AO8" s="7"/>
      <c r="AP8" s="7"/>
      <c r="AQ8" s="7"/>
      <c r="AR8" s="7"/>
    </row>
    <row r="9" spans="1:44" ht="15.75" customHeight="1">
      <c r="A9" s="4">
        <v>8</v>
      </c>
      <c r="B9" s="17">
        <v>10.5</v>
      </c>
      <c r="C9" s="17">
        <v>9</v>
      </c>
      <c r="D9" s="6">
        <f t="shared" si="0"/>
        <v>1.1666666666666667</v>
      </c>
      <c r="E9" s="7"/>
      <c r="F9" s="7"/>
      <c r="G9" s="14" t="s">
        <v>300</v>
      </c>
      <c r="H9" s="7"/>
      <c r="J9" s="5"/>
      <c r="K9" s="5"/>
      <c r="L9" s="5"/>
      <c r="M9" s="5"/>
      <c r="N9" s="7"/>
      <c r="O9" s="7"/>
      <c r="P9" s="7"/>
      <c r="Q9" s="7"/>
      <c r="S9" s="5"/>
      <c r="T9" s="5"/>
      <c r="U9" s="5"/>
      <c r="V9" s="5"/>
      <c r="W9" s="7"/>
      <c r="X9" s="7"/>
      <c r="Y9" s="7"/>
      <c r="Z9" s="7"/>
      <c r="AA9" s="21"/>
      <c r="AB9" s="5"/>
      <c r="AC9" s="5"/>
      <c r="AD9" s="5"/>
      <c r="AE9" s="5"/>
      <c r="AF9" s="7"/>
      <c r="AG9" s="7"/>
      <c r="AH9" s="7"/>
      <c r="AI9" s="7"/>
      <c r="AK9" s="5"/>
      <c r="AL9" s="5"/>
      <c r="AM9" s="5"/>
      <c r="AN9" s="5"/>
      <c r="AO9" s="7"/>
      <c r="AP9" s="7"/>
      <c r="AQ9" s="7"/>
      <c r="AR9" s="7"/>
    </row>
    <row r="10" spans="1:44" ht="15.75" customHeight="1">
      <c r="A10" s="4">
        <v>9</v>
      </c>
      <c r="B10" s="17">
        <v>11.5</v>
      </c>
      <c r="C10" s="17">
        <v>9.5</v>
      </c>
      <c r="D10" s="6">
        <f t="shared" si="0"/>
        <v>1.2105263157894737</v>
      </c>
      <c r="E10" s="7"/>
      <c r="F10" s="7"/>
      <c r="G10" s="14" t="s">
        <v>302</v>
      </c>
      <c r="H10" s="7"/>
      <c r="J10" s="5"/>
      <c r="K10" s="5"/>
      <c r="L10" s="5"/>
      <c r="M10" s="5"/>
      <c r="N10" s="7"/>
      <c r="O10" s="7"/>
      <c r="P10" s="7"/>
      <c r="Q10" s="7"/>
      <c r="S10" s="5"/>
      <c r="T10" s="5"/>
      <c r="U10" s="5"/>
      <c r="V10" s="5"/>
      <c r="W10" s="7"/>
      <c r="X10" s="7"/>
      <c r="Y10" s="7"/>
      <c r="Z10" s="7"/>
      <c r="AA10" s="7"/>
      <c r="AB10" s="5"/>
      <c r="AC10" s="5"/>
      <c r="AD10" s="5"/>
      <c r="AE10" s="5"/>
      <c r="AF10" s="7"/>
      <c r="AG10" s="7"/>
      <c r="AH10" s="7"/>
      <c r="AI10" s="7"/>
      <c r="AK10" s="5"/>
      <c r="AL10" s="5"/>
      <c r="AM10" s="5"/>
      <c r="AN10" s="5"/>
      <c r="AO10" s="7"/>
      <c r="AP10" s="7"/>
      <c r="AQ10" s="7"/>
      <c r="AR10" s="7"/>
    </row>
    <row r="11" spans="1:44" ht="15.75" customHeight="1">
      <c r="A11" s="4">
        <v>10</v>
      </c>
      <c r="B11" s="17">
        <v>10</v>
      </c>
      <c r="C11" s="17">
        <v>8.5</v>
      </c>
      <c r="D11" s="6">
        <f t="shared" si="0"/>
        <v>1.1764705882352942</v>
      </c>
      <c r="E11" s="7"/>
      <c r="F11" s="7"/>
      <c r="G11" s="14" t="s">
        <v>302</v>
      </c>
      <c r="H11" s="7"/>
      <c r="J11" s="5"/>
      <c r="K11" s="5"/>
      <c r="L11" s="5"/>
      <c r="M11" s="5"/>
      <c r="N11" s="7"/>
      <c r="O11" s="7"/>
      <c r="P11" s="7"/>
      <c r="Q11" s="7"/>
      <c r="S11" s="5"/>
      <c r="T11" s="5"/>
      <c r="U11" s="5"/>
      <c r="V11" s="5"/>
      <c r="W11" s="7"/>
      <c r="X11" s="7"/>
      <c r="Y11" s="7"/>
      <c r="Z11" s="7"/>
      <c r="AA11" s="7"/>
      <c r="AB11" s="5"/>
      <c r="AC11" s="5"/>
      <c r="AD11" s="5"/>
      <c r="AE11" s="5"/>
      <c r="AF11" s="7"/>
      <c r="AG11" s="7"/>
      <c r="AH11" s="7"/>
      <c r="AI11" s="7"/>
      <c r="AK11" s="5"/>
      <c r="AL11" s="5"/>
      <c r="AM11" s="5"/>
      <c r="AN11" s="5"/>
      <c r="AO11" s="7"/>
      <c r="AP11" s="7"/>
      <c r="AQ11" s="7"/>
      <c r="AR11" s="7"/>
    </row>
    <row r="12" spans="1:44" ht="15.75" customHeight="1">
      <c r="A12" s="8">
        <v>11</v>
      </c>
      <c r="B12" s="17">
        <v>10.5</v>
      </c>
      <c r="C12" s="17">
        <v>8.5</v>
      </c>
      <c r="D12" s="6">
        <f t="shared" si="0"/>
        <v>1.2352941176470589</v>
      </c>
      <c r="E12" s="7"/>
      <c r="F12" s="7"/>
      <c r="G12" s="14" t="s">
        <v>302</v>
      </c>
      <c r="H12" s="7"/>
      <c r="J12" s="5"/>
      <c r="K12" s="5"/>
      <c r="L12" s="5"/>
      <c r="M12" s="5"/>
      <c r="N12" s="7"/>
      <c r="O12" s="7"/>
      <c r="P12" s="7"/>
      <c r="Q12" s="7"/>
      <c r="S12" s="5"/>
      <c r="T12" s="5"/>
      <c r="U12" s="5"/>
      <c r="V12" s="5"/>
      <c r="W12" s="7"/>
      <c r="X12" s="7"/>
      <c r="Y12" s="7"/>
      <c r="Z12" s="7"/>
      <c r="AA12" s="7"/>
      <c r="AB12" s="5"/>
      <c r="AC12" s="5"/>
      <c r="AD12" s="5"/>
      <c r="AE12" s="5"/>
      <c r="AF12" s="7"/>
      <c r="AG12" s="7"/>
      <c r="AH12" s="7"/>
      <c r="AI12" s="7"/>
      <c r="AK12" s="5"/>
      <c r="AL12" s="5"/>
      <c r="AM12" s="5"/>
      <c r="AN12" s="5"/>
      <c r="AO12" s="7"/>
      <c r="AP12" s="7"/>
      <c r="AQ12" s="7"/>
      <c r="AR12" s="7"/>
    </row>
    <row r="13" spans="1:44" ht="15.75" customHeight="1">
      <c r="A13" s="8">
        <v>12</v>
      </c>
      <c r="B13" s="17">
        <v>10</v>
      </c>
      <c r="C13" s="17">
        <v>9</v>
      </c>
      <c r="D13" s="6">
        <f t="shared" si="0"/>
        <v>1.1111111111111112</v>
      </c>
      <c r="E13" s="7"/>
      <c r="F13" s="7"/>
      <c r="G13" s="14" t="s">
        <v>302</v>
      </c>
      <c r="H13" s="7"/>
      <c r="J13" s="5"/>
      <c r="K13" s="5"/>
      <c r="L13" s="5"/>
      <c r="M13" s="5"/>
      <c r="N13" s="7"/>
      <c r="O13" s="7"/>
      <c r="P13" s="7"/>
      <c r="Q13" s="7"/>
      <c r="S13" s="5"/>
      <c r="T13" s="5"/>
      <c r="U13" s="5"/>
      <c r="V13" s="5"/>
      <c r="W13" s="7"/>
      <c r="X13" s="7"/>
      <c r="Y13" s="7"/>
      <c r="Z13" s="7"/>
      <c r="AA13" s="7"/>
      <c r="AB13" s="5"/>
      <c r="AC13" s="5"/>
      <c r="AD13" s="5"/>
      <c r="AE13" s="5"/>
      <c r="AF13" s="7"/>
      <c r="AG13" s="7"/>
      <c r="AH13" s="7"/>
      <c r="AI13" s="7"/>
      <c r="AK13" s="5"/>
      <c r="AL13" s="5"/>
      <c r="AM13" s="5"/>
      <c r="AN13" s="5"/>
      <c r="AO13" s="7"/>
      <c r="AP13" s="7"/>
      <c r="AQ13" s="7"/>
      <c r="AR13" s="7"/>
    </row>
    <row r="14" spans="1:44" ht="15.75" customHeight="1">
      <c r="A14" s="8">
        <v>13</v>
      </c>
      <c r="B14" s="17">
        <v>9</v>
      </c>
      <c r="C14" s="17">
        <v>9</v>
      </c>
      <c r="D14" s="6">
        <f t="shared" si="0"/>
        <v>1</v>
      </c>
      <c r="E14" s="7"/>
      <c r="F14" s="7"/>
      <c r="G14" s="14" t="s">
        <v>302</v>
      </c>
      <c r="H14" s="7"/>
      <c r="J14" s="5"/>
      <c r="K14" s="5"/>
      <c r="L14" s="5"/>
      <c r="M14" s="5"/>
      <c r="N14" s="7"/>
      <c r="O14" s="7"/>
      <c r="P14" s="7"/>
      <c r="Q14" s="7"/>
      <c r="S14" s="5"/>
      <c r="T14" s="5"/>
      <c r="U14" s="5"/>
      <c r="V14" s="5"/>
      <c r="W14" s="7"/>
      <c r="X14" s="7"/>
      <c r="Y14" s="7"/>
      <c r="Z14" s="7"/>
      <c r="AA14" s="7"/>
      <c r="AB14" s="5"/>
      <c r="AC14" s="5"/>
      <c r="AD14" s="5"/>
      <c r="AE14" s="5"/>
      <c r="AF14" s="7"/>
      <c r="AG14" s="7"/>
      <c r="AH14" s="7"/>
      <c r="AI14" s="7"/>
      <c r="AK14" s="5"/>
      <c r="AL14" s="5"/>
      <c r="AM14" s="5"/>
      <c r="AN14" s="5"/>
      <c r="AO14" s="7"/>
      <c r="AP14" s="7"/>
      <c r="AQ14" s="7"/>
      <c r="AR14" s="7"/>
    </row>
    <row r="15" spans="1:44" ht="15.75" customHeight="1">
      <c r="A15" s="8">
        <v>14</v>
      </c>
      <c r="B15" s="17">
        <v>9.5</v>
      </c>
      <c r="C15" s="17">
        <v>9</v>
      </c>
      <c r="D15" s="6">
        <f t="shared" si="0"/>
        <v>1.0555555555555556</v>
      </c>
      <c r="E15" s="7"/>
      <c r="F15" s="7"/>
      <c r="G15" s="7"/>
      <c r="H15" s="7"/>
      <c r="J15" s="5"/>
      <c r="K15" s="5"/>
      <c r="L15" s="5"/>
      <c r="M15" s="5"/>
      <c r="N15" s="7"/>
      <c r="O15" s="7"/>
      <c r="P15" s="7"/>
      <c r="Q15" s="7"/>
      <c r="S15" s="5"/>
      <c r="T15" s="5"/>
      <c r="U15" s="5"/>
      <c r="V15" s="5"/>
      <c r="W15" s="7"/>
      <c r="X15" s="7"/>
      <c r="Y15" s="7"/>
      <c r="Z15" s="7"/>
      <c r="AA15" s="7"/>
      <c r="AB15" s="5"/>
      <c r="AC15" s="5"/>
      <c r="AD15" s="5"/>
      <c r="AE15" s="5"/>
      <c r="AF15" s="7"/>
      <c r="AG15" s="7"/>
      <c r="AH15" s="7"/>
      <c r="AI15" s="7"/>
      <c r="AK15" s="5"/>
      <c r="AL15" s="5"/>
      <c r="AM15" s="5"/>
      <c r="AN15" s="5"/>
      <c r="AO15" s="7"/>
      <c r="AP15" s="7"/>
      <c r="AQ15" s="7"/>
      <c r="AR15" s="7"/>
    </row>
    <row r="16" spans="1:44" ht="15.75" customHeight="1">
      <c r="A16" s="8">
        <v>15</v>
      </c>
      <c r="B16" s="17">
        <v>9.5</v>
      </c>
      <c r="C16" s="17">
        <v>8.5</v>
      </c>
      <c r="D16" s="6">
        <f t="shared" si="0"/>
        <v>1.1176470588235294</v>
      </c>
      <c r="E16" s="7"/>
      <c r="F16" s="7"/>
      <c r="G16" s="7"/>
      <c r="H16" s="7"/>
      <c r="J16" s="5"/>
      <c r="K16" s="5"/>
      <c r="L16" s="5"/>
      <c r="M16" s="5"/>
      <c r="N16" s="7"/>
      <c r="O16" s="7"/>
      <c r="P16" s="7"/>
      <c r="Q16" s="7"/>
      <c r="S16" s="5"/>
      <c r="T16" s="5"/>
      <c r="U16" s="5"/>
      <c r="V16" s="5"/>
      <c r="W16" s="7"/>
      <c r="X16" s="7"/>
      <c r="Y16" s="7"/>
      <c r="Z16" s="7"/>
      <c r="AA16" s="7"/>
      <c r="AB16" s="5"/>
      <c r="AC16" s="5"/>
      <c r="AD16" s="5"/>
      <c r="AE16" s="5"/>
      <c r="AF16" s="7"/>
      <c r="AG16" s="7"/>
      <c r="AH16" s="7"/>
      <c r="AI16" s="7"/>
      <c r="AK16" s="5"/>
      <c r="AL16" s="5"/>
      <c r="AM16" s="5"/>
      <c r="AN16" s="5"/>
      <c r="AO16" s="7"/>
      <c r="AP16" s="7"/>
      <c r="AQ16" s="7"/>
      <c r="AR16" s="7"/>
    </row>
    <row r="17" spans="1:44" ht="15.75" customHeight="1">
      <c r="A17" s="8">
        <v>16</v>
      </c>
      <c r="B17" s="17">
        <v>9.5</v>
      </c>
      <c r="C17" s="17">
        <v>9</v>
      </c>
      <c r="D17" s="6">
        <f t="shared" si="0"/>
        <v>1.0555555555555556</v>
      </c>
      <c r="E17" s="7"/>
      <c r="F17" s="7"/>
      <c r="G17" s="7"/>
      <c r="H17" s="7"/>
      <c r="J17" s="5"/>
      <c r="K17" s="5"/>
      <c r="L17" s="5"/>
      <c r="M17" s="5"/>
      <c r="N17" s="7"/>
      <c r="O17" s="7"/>
      <c r="P17" s="7"/>
      <c r="Q17" s="7"/>
      <c r="S17" s="5"/>
      <c r="T17" s="5"/>
      <c r="U17" s="5"/>
      <c r="V17" s="5"/>
      <c r="W17" s="7"/>
      <c r="X17" s="7"/>
      <c r="Y17" s="7"/>
      <c r="Z17" s="7"/>
      <c r="AA17" s="7"/>
      <c r="AB17" s="5"/>
      <c r="AC17" s="5"/>
      <c r="AD17" s="5"/>
      <c r="AE17" s="5"/>
      <c r="AF17" s="7"/>
      <c r="AG17" s="7"/>
      <c r="AH17" s="7"/>
      <c r="AI17" s="7"/>
      <c r="AK17" s="5"/>
      <c r="AL17" s="5"/>
      <c r="AM17" s="5"/>
      <c r="AN17" s="5"/>
      <c r="AO17" s="7"/>
      <c r="AP17" s="7"/>
      <c r="AQ17" s="7"/>
      <c r="AR17" s="7"/>
    </row>
    <row r="18" spans="1:44" ht="15.75" customHeight="1">
      <c r="A18" s="8">
        <v>17</v>
      </c>
      <c r="B18" s="17">
        <v>10</v>
      </c>
      <c r="C18" s="17">
        <v>9</v>
      </c>
      <c r="D18" s="6">
        <f t="shared" si="0"/>
        <v>1.1111111111111112</v>
      </c>
      <c r="E18" s="7"/>
      <c r="F18" s="7"/>
      <c r="G18" s="7"/>
      <c r="H18" s="7"/>
      <c r="J18" s="5"/>
      <c r="K18" s="5"/>
      <c r="L18" s="5"/>
      <c r="M18" s="5"/>
      <c r="N18" s="7"/>
      <c r="O18" s="7"/>
      <c r="P18" s="7"/>
      <c r="Q18" s="7"/>
      <c r="S18" s="5"/>
      <c r="T18" s="5"/>
      <c r="U18" s="5"/>
      <c r="V18" s="5"/>
      <c r="W18" s="7"/>
      <c r="X18" s="7"/>
      <c r="Y18" s="7"/>
      <c r="Z18" s="7"/>
      <c r="AA18" s="7"/>
      <c r="AB18" s="5"/>
      <c r="AC18" s="5"/>
      <c r="AD18" s="5"/>
      <c r="AE18" s="5"/>
      <c r="AF18" s="7"/>
      <c r="AG18" s="7"/>
      <c r="AH18" s="7"/>
      <c r="AI18" s="7"/>
      <c r="AK18" s="5"/>
      <c r="AL18" s="5"/>
      <c r="AM18" s="5"/>
      <c r="AN18" s="5"/>
      <c r="AO18" s="7"/>
      <c r="AP18" s="7"/>
      <c r="AQ18" s="7"/>
      <c r="AR18" s="7"/>
    </row>
    <row r="19" spans="1:44" ht="15.75" customHeight="1">
      <c r="A19" s="8">
        <v>18</v>
      </c>
      <c r="B19" s="17">
        <v>9.5</v>
      </c>
      <c r="C19" s="17">
        <v>9</v>
      </c>
      <c r="D19" s="6">
        <f t="shared" si="0"/>
        <v>1.0555555555555556</v>
      </c>
      <c r="E19" s="7"/>
      <c r="F19" s="7"/>
      <c r="G19" s="7"/>
      <c r="H19" s="7"/>
      <c r="J19" s="5"/>
      <c r="K19" s="5"/>
      <c r="L19" s="5"/>
      <c r="M19" s="5"/>
      <c r="N19" s="7"/>
      <c r="O19" s="7"/>
      <c r="P19" s="7"/>
      <c r="Q19" s="7"/>
      <c r="S19" s="5"/>
      <c r="T19" s="5"/>
      <c r="U19" s="5"/>
      <c r="V19" s="5"/>
      <c r="W19" s="7"/>
      <c r="X19" s="7"/>
      <c r="Y19" s="7"/>
      <c r="Z19" s="7"/>
      <c r="AA19" s="7"/>
      <c r="AB19" s="5"/>
      <c r="AC19" s="5"/>
      <c r="AD19" s="5"/>
      <c r="AE19" s="5"/>
      <c r="AF19" s="7"/>
      <c r="AG19" s="7"/>
      <c r="AH19" s="7"/>
      <c r="AI19" s="7"/>
      <c r="AK19" s="5"/>
      <c r="AL19" s="5"/>
      <c r="AM19" s="5"/>
      <c r="AN19" s="5"/>
      <c r="AO19" s="7"/>
      <c r="AP19" s="7"/>
      <c r="AQ19" s="7"/>
      <c r="AR19" s="7"/>
    </row>
    <row r="20" spans="1:44" ht="15.75" customHeight="1">
      <c r="A20" s="8">
        <v>19</v>
      </c>
      <c r="B20" s="17">
        <v>10</v>
      </c>
      <c r="C20" s="17">
        <v>9.5</v>
      </c>
      <c r="D20" s="6">
        <f t="shared" si="0"/>
        <v>1.0526315789473684</v>
      </c>
      <c r="E20" s="7"/>
      <c r="F20" s="7"/>
      <c r="G20" s="7"/>
      <c r="H20" s="7"/>
      <c r="J20" s="5"/>
      <c r="K20" s="5"/>
      <c r="L20" s="5"/>
      <c r="M20" s="5"/>
      <c r="N20" s="7"/>
      <c r="O20" s="7"/>
      <c r="P20" s="7"/>
      <c r="Q20" s="7"/>
      <c r="S20" s="5"/>
      <c r="T20" s="5"/>
      <c r="U20" s="5"/>
      <c r="V20" s="5"/>
      <c r="W20" s="7"/>
      <c r="X20" s="7"/>
      <c r="Y20" s="7"/>
      <c r="Z20" s="7"/>
      <c r="AA20" s="7"/>
      <c r="AB20" s="5"/>
      <c r="AC20" s="5"/>
      <c r="AD20" s="5"/>
      <c r="AE20" s="5"/>
      <c r="AF20" s="7"/>
      <c r="AG20" s="7"/>
      <c r="AH20" s="7"/>
      <c r="AI20" s="7"/>
      <c r="AK20" s="5"/>
      <c r="AL20" s="5"/>
      <c r="AM20" s="5"/>
      <c r="AN20" s="5"/>
      <c r="AO20" s="7"/>
      <c r="AP20" s="7"/>
      <c r="AQ20" s="7"/>
      <c r="AR20" s="7"/>
    </row>
    <row r="21" spans="1:44" ht="15.75" customHeight="1">
      <c r="A21" s="8">
        <v>20</v>
      </c>
      <c r="B21" s="17">
        <v>9.5</v>
      </c>
      <c r="C21" s="17">
        <v>9</v>
      </c>
      <c r="D21" s="6">
        <f t="shared" si="0"/>
        <v>1.0555555555555556</v>
      </c>
      <c r="E21" s="7"/>
      <c r="F21" s="7"/>
      <c r="G21" s="7"/>
      <c r="H21" s="7"/>
      <c r="J21" s="5"/>
      <c r="K21" s="5"/>
      <c r="L21" s="5"/>
      <c r="M21" s="5"/>
      <c r="N21" s="7"/>
      <c r="O21" s="7"/>
      <c r="P21" s="7"/>
      <c r="Q21" s="7"/>
      <c r="S21" s="5"/>
      <c r="T21" s="5"/>
      <c r="U21" s="5"/>
      <c r="V21" s="5"/>
      <c r="W21" s="7"/>
      <c r="X21" s="7"/>
      <c r="Y21" s="7"/>
      <c r="Z21" s="7"/>
      <c r="AA21" s="7"/>
      <c r="AB21" s="5"/>
      <c r="AC21" s="5"/>
      <c r="AD21" s="5"/>
      <c r="AE21" s="5"/>
      <c r="AF21" s="7"/>
      <c r="AG21" s="7"/>
      <c r="AH21" s="7"/>
      <c r="AI21" s="7"/>
      <c r="AK21" s="5"/>
      <c r="AL21" s="5"/>
      <c r="AM21" s="5"/>
      <c r="AN21" s="5"/>
      <c r="AO21" s="7"/>
      <c r="AP21" s="7"/>
      <c r="AQ21" s="7"/>
      <c r="AR21" s="7"/>
    </row>
    <row r="22" spans="1:44" ht="15.75" customHeight="1">
      <c r="A22" s="8">
        <v>21</v>
      </c>
      <c r="B22" s="17">
        <v>10.5</v>
      </c>
      <c r="C22" s="17">
        <v>8.5</v>
      </c>
      <c r="D22" s="6">
        <f t="shared" si="0"/>
        <v>1.2352941176470589</v>
      </c>
      <c r="E22" s="7"/>
      <c r="F22" s="7"/>
      <c r="G22" s="7"/>
      <c r="H22" s="7"/>
      <c r="J22" s="5"/>
      <c r="K22" s="5"/>
      <c r="L22" s="5"/>
      <c r="M22" s="5"/>
      <c r="N22" s="7"/>
      <c r="O22" s="7"/>
      <c r="P22" s="7"/>
      <c r="Q22" s="7"/>
      <c r="S22" s="5"/>
      <c r="T22" s="5"/>
      <c r="U22" s="5"/>
      <c r="V22" s="5"/>
      <c r="W22" s="7"/>
      <c r="X22" s="7"/>
      <c r="Y22" s="7"/>
      <c r="Z22" s="7"/>
      <c r="AA22" s="7"/>
      <c r="AB22" s="5"/>
      <c r="AC22" s="5"/>
      <c r="AD22" s="5"/>
      <c r="AE22" s="5"/>
      <c r="AF22" s="7"/>
      <c r="AG22" s="7"/>
      <c r="AH22" s="7"/>
      <c r="AI22" s="7"/>
      <c r="AK22" s="5"/>
      <c r="AL22" s="5"/>
      <c r="AM22" s="5"/>
      <c r="AN22" s="5"/>
      <c r="AO22" s="7"/>
      <c r="AP22" s="7"/>
      <c r="AQ22" s="7"/>
      <c r="AR22" s="7"/>
    </row>
    <row r="23" spans="1:44" ht="15.75" customHeight="1">
      <c r="A23" s="8">
        <v>22</v>
      </c>
      <c r="B23" s="17">
        <v>9</v>
      </c>
      <c r="C23" s="17">
        <v>8</v>
      </c>
      <c r="D23" s="6">
        <f t="shared" si="0"/>
        <v>1.125</v>
      </c>
      <c r="E23" s="7"/>
      <c r="F23" s="7"/>
      <c r="G23" s="7"/>
      <c r="H23" s="7"/>
      <c r="J23" s="5"/>
      <c r="K23" s="5"/>
      <c r="L23" s="5"/>
      <c r="M23" s="5"/>
      <c r="N23" s="7"/>
      <c r="O23" s="7"/>
      <c r="P23" s="7"/>
      <c r="Q23" s="7"/>
      <c r="S23" s="5"/>
      <c r="T23" s="5"/>
      <c r="U23" s="5"/>
      <c r="V23" s="5"/>
      <c r="W23" s="7"/>
      <c r="X23" s="7"/>
      <c r="Y23" s="7"/>
      <c r="Z23" s="7"/>
      <c r="AA23" s="7"/>
      <c r="AB23" s="5"/>
      <c r="AC23" s="5"/>
      <c r="AD23" s="5"/>
      <c r="AE23" s="5"/>
      <c r="AF23" s="7"/>
      <c r="AG23" s="7"/>
      <c r="AH23" s="7"/>
      <c r="AI23" s="7"/>
      <c r="AK23" s="5"/>
      <c r="AL23" s="5"/>
      <c r="AM23" s="5"/>
      <c r="AN23" s="5"/>
      <c r="AO23" s="7"/>
      <c r="AP23" s="7"/>
      <c r="AQ23" s="7"/>
      <c r="AR23" s="7"/>
    </row>
    <row r="24" spans="1:44" ht="15.75" customHeight="1">
      <c r="A24" s="8">
        <v>23</v>
      </c>
      <c r="B24" s="17">
        <v>10</v>
      </c>
      <c r="C24" s="17">
        <v>9</v>
      </c>
      <c r="D24" s="6">
        <f t="shared" si="0"/>
        <v>1.1111111111111112</v>
      </c>
      <c r="E24" s="7"/>
      <c r="F24" s="7"/>
      <c r="G24" s="7"/>
      <c r="H24" s="7"/>
      <c r="J24" s="5"/>
      <c r="K24" s="5"/>
      <c r="L24" s="5"/>
      <c r="M24" s="5"/>
      <c r="N24" s="7"/>
      <c r="O24" s="7"/>
      <c r="P24" s="7"/>
      <c r="Q24" s="7"/>
      <c r="S24" s="5"/>
      <c r="T24" s="5"/>
      <c r="U24" s="5"/>
      <c r="V24" s="5"/>
      <c r="W24" s="7"/>
      <c r="X24" s="7"/>
      <c r="Y24" s="7"/>
      <c r="Z24" s="7"/>
      <c r="AA24" s="7"/>
      <c r="AB24" s="5"/>
      <c r="AC24" s="5"/>
      <c r="AD24" s="5"/>
      <c r="AE24" s="5"/>
      <c r="AF24" s="7"/>
      <c r="AG24" s="7"/>
      <c r="AH24" s="7"/>
      <c r="AI24" s="7"/>
      <c r="AK24" s="5"/>
      <c r="AL24" s="5"/>
      <c r="AM24" s="5"/>
      <c r="AN24" s="5"/>
      <c r="AO24" s="7"/>
      <c r="AP24" s="7"/>
      <c r="AQ24" s="7"/>
      <c r="AR24" s="7"/>
    </row>
    <row r="25" spans="1:44" ht="15.75" customHeight="1">
      <c r="A25" s="8">
        <v>24</v>
      </c>
      <c r="B25" s="17">
        <v>9</v>
      </c>
      <c r="C25" s="17">
        <v>8.5</v>
      </c>
      <c r="D25" s="6">
        <f t="shared" si="0"/>
        <v>1.0588235294117647</v>
      </c>
      <c r="E25" s="7"/>
      <c r="F25" s="7"/>
      <c r="G25" s="7"/>
      <c r="H25" s="7"/>
      <c r="J25" s="5"/>
      <c r="K25" s="5"/>
      <c r="L25" s="5"/>
      <c r="M25" s="5"/>
      <c r="N25" s="7"/>
      <c r="O25" s="7"/>
      <c r="P25" s="7"/>
      <c r="Q25" s="7"/>
      <c r="S25" s="5"/>
      <c r="T25" s="5"/>
      <c r="U25" s="5"/>
      <c r="V25" s="5"/>
      <c r="W25" s="7"/>
      <c r="X25" s="7"/>
      <c r="Y25" s="7"/>
      <c r="Z25" s="7"/>
      <c r="AA25" s="7"/>
      <c r="AB25" s="5"/>
      <c r="AC25" s="5"/>
      <c r="AD25" s="5"/>
      <c r="AE25" s="5"/>
      <c r="AF25" s="7"/>
      <c r="AG25" s="7"/>
      <c r="AH25" s="7"/>
      <c r="AI25" s="7"/>
      <c r="AK25" s="5"/>
      <c r="AL25" s="5"/>
      <c r="AM25" s="5"/>
      <c r="AN25" s="5"/>
      <c r="AO25" s="7"/>
      <c r="AP25" s="7"/>
      <c r="AQ25" s="7"/>
      <c r="AR25" s="7"/>
    </row>
    <row r="26" spans="1:44" ht="15.75" customHeight="1">
      <c r="A26" s="8">
        <v>25</v>
      </c>
      <c r="B26" s="17">
        <v>9.5</v>
      </c>
      <c r="C26" s="17">
        <v>8.5</v>
      </c>
      <c r="D26" s="6">
        <f t="shared" si="0"/>
        <v>1.1176470588235294</v>
      </c>
      <c r="E26" s="7"/>
      <c r="F26" s="7"/>
      <c r="G26" s="7"/>
      <c r="H26" s="7"/>
      <c r="J26" s="5"/>
      <c r="K26" s="5"/>
      <c r="L26" s="5"/>
      <c r="M26" s="5"/>
      <c r="N26" s="7"/>
      <c r="O26" s="7"/>
      <c r="P26" s="7"/>
      <c r="Q26" s="7"/>
      <c r="S26" s="5"/>
      <c r="T26" s="5"/>
      <c r="U26" s="5"/>
      <c r="V26" s="5"/>
      <c r="W26" s="7"/>
      <c r="X26" s="7"/>
      <c r="Y26" s="7"/>
      <c r="Z26" s="7"/>
      <c r="AA26" s="7"/>
      <c r="AB26" s="5"/>
      <c r="AC26" s="5"/>
      <c r="AD26" s="5"/>
      <c r="AE26" s="5"/>
      <c r="AF26" s="7"/>
      <c r="AG26" s="7"/>
      <c r="AH26" s="7"/>
      <c r="AI26" s="7"/>
      <c r="AK26" s="5"/>
      <c r="AL26" s="5"/>
      <c r="AM26" s="5"/>
      <c r="AN26" s="5"/>
      <c r="AO26" s="7"/>
      <c r="AP26" s="7"/>
      <c r="AQ26" s="7"/>
      <c r="AR26" s="7"/>
    </row>
    <row r="27" spans="1:44" ht="15.75" customHeight="1">
      <c r="A27" s="4" t="s">
        <v>10</v>
      </c>
      <c r="B27" s="5">
        <f t="shared" ref="B27:D27" si="1">AVERAGE(B2:B26)</f>
        <v>9.84</v>
      </c>
      <c r="C27" s="5">
        <f t="shared" si="1"/>
        <v>8.8000000000000007</v>
      </c>
      <c r="D27" s="9">
        <f t="shared" si="1"/>
        <v>1.1204688682490542</v>
      </c>
      <c r="E27" s="7"/>
      <c r="F27" s="7"/>
      <c r="G27" s="7"/>
      <c r="H27" s="7"/>
      <c r="J27" s="17"/>
      <c r="K27" s="5"/>
      <c r="L27" s="5"/>
      <c r="M27" s="5"/>
      <c r="N27" s="7"/>
      <c r="O27" s="7"/>
      <c r="P27" s="7"/>
      <c r="Q27" s="7"/>
      <c r="S27" s="17"/>
      <c r="T27" s="5"/>
      <c r="U27" s="5"/>
      <c r="V27" s="5"/>
      <c r="W27" s="7"/>
      <c r="X27" s="7"/>
      <c r="Y27" s="7"/>
      <c r="Z27" s="7"/>
      <c r="AA27" s="7"/>
      <c r="AB27" s="17"/>
      <c r="AC27" s="5"/>
      <c r="AD27" s="5"/>
      <c r="AE27" s="5"/>
      <c r="AF27" s="7"/>
      <c r="AG27" s="7"/>
      <c r="AH27" s="7"/>
      <c r="AI27" s="7"/>
      <c r="AK27" s="17"/>
      <c r="AL27" s="5"/>
      <c r="AM27" s="5"/>
      <c r="AN27" s="5"/>
      <c r="AO27" s="7"/>
      <c r="AP27" s="7"/>
      <c r="AQ27" s="7"/>
      <c r="AR27" s="7"/>
    </row>
    <row r="28" spans="1:44" ht="15.75" customHeight="1">
      <c r="A28" s="4" t="s">
        <v>11</v>
      </c>
      <c r="B28" s="5">
        <f t="shared" ref="B28:D28" si="2">MIN(B3:B26)</f>
        <v>9</v>
      </c>
      <c r="C28" s="5">
        <f t="shared" si="2"/>
        <v>7.5</v>
      </c>
      <c r="D28" s="9">
        <f t="shared" si="2"/>
        <v>1</v>
      </c>
      <c r="E28" s="7"/>
      <c r="F28" s="7"/>
      <c r="G28" s="7"/>
      <c r="H28" s="7"/>
      <c r="J28" s="17"/>
      <c r="K28" s="5"/>
      <c r="L28" s="5"/>
      <c r="M28" s="5"/>
      <c r="N28" s="7"/>
      <c r="O28" s="7"/>
      <c r="P28" s="7"/>
      <c r="Q28" s="7"/>
      <c r="S28" s="17"/>
      <c r="T28" s="5"/>
      <c r="U28" s="5"/>
      <c r="V28" s="5"/>
      <c r="W28" s="7"/>
      <c r="X28" s="7"/>
      <c r="Y28" s="7"/>
      <c r="Z28" s="7"/>
      <c r="AA28" s="7"/>
      <c r="AB28" s="17"/>
      <c r="AC28" s="5"/>
      <c r="AD28" s="5"/>
      <c r="AE28" s="5"/>
      <c r="AF28" s="7"/>
      <c r="AG28" s="7"/>
      <c r="AH28" s="7"/>
      <c r="AI28" s="7"/>
      <c r="AK28" s="17"/>
      <c r="AL28" s="5"/>
      <c r="AM28" s="5"/>
      <c r="AN28" s="5"/>
      <c r="AO28" s="7"/>
      <c r="AP28" s="7"/>
      <c r="AQ28" s="7"/>
      <c r="AR28" s="7"/>
    </row>
    <row r="29" spans="1:44" ht="15.75" customHeight="1">
      <c r="A29" s="4" t="s">
        <v>12</v>
      </c>
      <c r="B29" s="5">
        <f t="shared" ref="B29:D29" si="3">MAX(B4:B26)</f>
        <v>11.5</v>
      </c>
      <c r="C29" s="5">
        <f t="shared" si="3"/>
        <v>10</v>
      </c>
      <c r="D29" s="9">
        <f t="shared" si="3"/>
        <v>1.2666666666666666</v>
      </c>
      <c r="E29" s="7"/>
      <c r="F29" s="7"/>
      <c r="G29" s="7"/>
      <c r="H29" s="7"/>
      <c r="J29" s="17"/>
      <c r="K29" s="5"/>
      <c r="L29" s="5"/>
      <c r="M29" s="5"/>
      <c r="N29" s="7"/>
      <c r="O29" s="7"/>
      <c r="P29" s="7"/>
      <c r="Q29" s="7"/>
      <c r="S29" s="17"/>
      <c r="T29" s="5"/>
      <c r="U29" s="5"/>
      <c r="V29" s="5"/>
      <c r="W29" s="7"/>
      <c r="X29" s="7"/>
      <c r="Y29" s="7"/>
      <c r="Z29" s="7"/>
      <c r="AA29" s="7"/>
      <c r="AB29" s="17"/>
      <c r="AC29" s="5"/>
      <c r="AD29" s="5"/>
      <c r="AE29" s="5"/>
      <c r="AF29" s="7"/>
      <c r="AG29" s="7"/>
      <c r="AH29" s="7"/>
      <c r="AI29" s="7"/>
      <c r="AK29" s="17"/>
      <c r="AL29" s="5"/>
      <c r="AM29" s="5"/>
      <c r="AN29" s="5"/>
      <c r="AO29" s="7"/>
      <c r="AP29" s="7"/>
      <c r="AQ29" s="7"/>
      <c r="AR29" s="7"/>
    </row>
    <row r="30" spans="1:44" ht="15.75" customHeight="1">
      <c r="A30" s="2"/>
      <c r="B30" s="7"/>
      <c r="C30" s="7"/>
      <c r="D30" s="7"/>
      <c r="E30" s="7"/>
      <c r="F30" s="7"/>
      <c r="G30" s="7"/>
      <c r="H30" s="7"/>
      <c r="J30" s="17"/>
      <c r="K30" s="5"/>
      <c r="L30" s="5"/>
      <c r="M30" s="5"/>
      <c r="N30" s="7"/>
      <c r="O30" s="7"/>
      <c r="P30" s="7"/>
      <c r="Q30" s="7"/>
      <c r="S30" s="17"/>
      <c r="T30" s="5"/>
      <c r="U30" s="5"/>
      <c r="V30" s="5"/>
      <c r="W30" s="7"/>
      <c r="X30" s="7"/>
      <c r="Y30" s="7"/>
      <c r="Z30" s="7"/>
      <c r="AA30" s="7"/>
      <c r="AB30" s="17"/>
      <c r="AC30" s="5"/>
      <c r="AD30" s="5"/>
      <c r="AE30" s="5"/>
      <c r="AF30" s="7"/>
      <c r="AG30" s="7"/>
      <c r="AH30" s="7"/>
      <c r="AI30" s="7"/>
      <c r="AK30" s="17"/>
      <c r="AL30" s="5"/>
      <c r="AM30" s="5"/>
      <c r="AN30" s="5"/>
      <c r="AO30" s="7"/>
      <c r="AP30" s="7"/>
      <c r="AQ30" s="7"/>
      <c r="AR30" s="7"/>
    </row>
    <row r="31" spans="1:44" ht="15.75" customHeight="1">
      <c r="A31" s="2"/>
      <c r="B31" s="7"/>
      <c r="C31" s="7"/>
      <c r="D31" s="7"/>
      <c r="E31" s="7"/>
      <c r="F31" s="7"/>
      <c r="G31" s="7"/>
      <c r="H31" s="7"/>
      <c r="J31" s="17"/>
      <c r="K31" s="5"/>
      <c r="L31" s="5"/>
      <c r="M31" s="5"/>
      <c r="N31" s="7"/>
      <c r="O31" s="7"/>
      <c r="P31" s="7"/>
      <c r="Q31" s="7"/>
      <c r="S31" s="17"/>
      <c r="T31" s="5"/>
      <c r="U31" s="5"/>
      <c r="V31" s="5"/>
      <c r="W31" s="7"/>
      <c r="X31" s="7"/>
      <c r="Y31" s="7"/>
      <c r="Z31" s="7"/>
      <c r="AA31" s="7"/>
      <c r="AB31" s="17"/>
      <c r="AC31" s="5"/>
      <c r="AD31" s="5"/>
      <c r="AE31" s="5"/>
      <c r="AF31" s="7"/>
      <c r="AG31" s="7"/>
      <c r="AH31" s="7"/>
      <c r="AI31" s="7"/>
      <c r="AK31" s="17"/>
      <c r="AL31" s="5"/>
      <c r="AM31" s="5"/>
      <c r="AN31" s="5"/>
      <c r="AO31" s="7"/>
      <c r="AP31" s="7"/>
      <c r="AQ31" s="7"/>
      <c r="AR31" s="7"/>
    </row>
    <row r="32" spans="1:44" ht="15.75" customHeight="1">
      <c r="A32" s="2" t="s">
        <v>13</v>
      </c>
      <c r="B32" s="2" t="s">
        <v>3</v>
      </c>
      <c r="C32" s="2" t="s">
        <v>4</v>
      </c>
      <c r="D32" s="2" t="s">
        <v>14</v>
      </c>
      <c r="E32" s="2" t="s">
        <v>15</v>
      </c>
      <c r="F32" s="2" t="s">
        <v>9</v>
      </c>
      <c r="G32" s="2" t="s">
        <v>16</v>
      </c>
      <c r="H32" s="2" t="s">
        <v>17</v>
      </c>
      <c r="J32" s="17"/>
      <c r="K32" s="5"/>
      <c r="L32" s="5"/>
      <c r="M32" s="5"/>
      <c r="N32" s="7"/>
      <c r="O32" s="7"/>
      <c r="P32" s="7"/>
      <c r="Q32" s="7"/>
      <c r="S32" s="17"/>
      <c r="T32" s="5"/>
      <c r="U32" s="5"/>
      <c r="V32" s="5"/>
      <c r="W32" s="7"/>
      <c r="X32" s="7"/>
      <c r="Y32" s="7"/>
      <c r="Z32" s="7"/>
      <c r="AA32" s="7"/>
      <c r="AB32" s="17"/>
      <c r="AC32" s="5"/>
      <c r="AD32" s="5"/>
      <c r="AE32" s="5"/>
      <c r="AF32" s="7"/>
      <c r="AG32" s="7"/>
      <c r="AH32" s="7"/>
      <c r="AI32" s="7"/>
      <c r="AK32" s="17"/>
      <c r="AL32" s="5"/>
      <c r="AM32" s="5"/>
      <c r="AN32" s="5"/>
      <c r="AO32" s="7"/>
      <c r="AP32" s="7"/>
      <c r="AQ32" s="7"/>
      <c r="AR32" s="7"/>
    </row>
    <row r="33" spans="1:44" ht="15.75" customHeight="1">
      <c r="A33" s="4">
        <v>1</v>
      </c>
      <c r="B33" s="17">
        <v>48.5</v>
      </c>
      <c r="C33" s="17">
        <v>11.5</v>
      </c>
      <c r="D33" s="17">
        <v>4</v>
      </c>
      <c r="E33" s="17">
        <v>4.5</v>
      </c>
      <c r="F33" s="7"/>
      <c r="G33" s="7"/>
      <c r="H33" s="7"/>
      <c r="J33" s="17"/>
      <c r="K33" s="5"/>
      <c r="L33" s="5"/>
      <c r="M33" s="5"/>
      <c r="N33" s="7"/>
      <c r="O33" s="7"/>
      <c r="P33" s="7"/>
      <c r="Q33" s="7"/>
      <c r="S33" s="17"/>
      <c r="T33" s="5"/>
      <c r="U33" s="5"/>
      <c r="V33" s="5"/>
      <c r="W33" s="7"/>
      <c r="X33" s="7"/>
      <c r="Y33" s="7"/>
      <c r="Z33" s="7"/>
      <c r="AA33" s="7"/>
      <c r="AB33" s="17"/>
      <c r="AC33" s="5"/>
      <c r="AD33" s="5"/>
      <c r="AE33" s="5"/>
      <c r="AF33" s="7"/>
      <c r="AG33" s="7"/>
      <c r="AH33" s="7"/>
      <c r="AI33" s="7"/>
      <c r="AK33" s="17"/>
      <c r="AL33" s="5"/>
      <c r="AM33" s="5"/>
      <c r="AN33" s="5"/>
      <c r="AO33" s="7"/>
      <c r="AP33" s="7"/>
      <c r="AQ33" s="7"/>
      <c r="AR33" s="7"/>
    </row>
    <row r="34" spans="1:44" ht="15.75" customHeight="1">
      <c r="A34" s="4">
        <v>2</v>
      </c>
      <c r="B34" s="17">
        <v>37</v>
      </c>
      <c r="C34" s="17">
        <v>11.5</v>
      </c>
      <c r="D34" s="17">
        <v>4</v>
      </c>
      <c r="E34" s="17">
        <v>3.5</v>
      </c>
      <c r="F34" s="7"/>
      <c r="G34" s="14" t="s">
        <v>303</v>
      </c>
      <c r="H34" s="7"/>
      <c r="J34" s="17"/>
      <c r="K34" s="5"/>
      <c r="L34" s="5"/>
      <c r="M34" s="5"/>
      <c r="N34" s="7"/>
      <c r="O34" s="7"/>
      <c r="P34" s="7"/>
      <c r="Q34" s="7"/>
      <c r="S34" s="17"/>
      <c r="T34" s="5"/>
      <c r="U34" s="5"/>
      <c r="V34" s="5"/>
      <c r="W34" s="7"/>
      <c r="X34" s="7"/>
      <c r="Y34" s="7"/>
      <c r="Z34" s="7"/>
      <c r="AA34" s="7"/>
      <c r="AB34" s="17"/>
      <c r="AC34" s="5"/>
      <c r="AD34" s="5"/>
      <c r="AE34" s="5"/>
      <c r="AF34" s="7"/>
      <c r="AG34" s="7"/>
      <c r="AH34" s="7"/>
      <c r="AI34" s="7"/>
      <c r="AK34" s="17"/>
      <c r="AL34" s="5"/>
      <c r="AM34" s="5"/>
      <c r="AN34" s="5"/>
      <c r="AO34" s="7"/>
      <c r="AP34" s="7"/>
      <c r="AQ34" s="7"/>
      <c r="AR34" s="7"/>
    </row>
    <row r="35" spans="1:44" ht="15.75" customHeight="1">
      <c r="A35" s="4">
        <v>3</v>
      </c>
      <c r="B35" s="5"/>
      <c r="C35" s="17">
        <v>12</v>
      </c>
      <c r="D35" s="17">
        <v>4</v>
      </c>
      <c r="E35" s="14">
        <v>5.5</v>
      </c>
      <c r="F35" s="27"/>
      <c r="G35" s="24"/>
      <c r="H35" s="7"/>
      <c r="J35" s="17"/>
      <c r="K35" s="5"/>
      <c r="L35" s="5"/>
      <c r="M35" s="5"/>
      <c r="N35" s="7"/>
      <c r="O35" s="7"/>
      <c r="P35" s="7"/>
      <c r="Q35" s="7"/>
      <c r="S35" s="17"/>
      <c r="T35" s="5"/>
      <c r="U35" s="5"/>
      <c r="V35" s="5"/>
      <c r="W35" s="7"/>
      <c r="X35" s="7"/>
      <c r="Y35" s="7"/>
      <c r="Z35" s="7"/>
      <c r="AA35" s="7"/>
      <c r="AB35" s="17"/>
      <c r="AC35" s="5"/>
      <c r="AD35" s="5"/>
      <c r="AE35" s="5"/>
      <c r="AF35" s="7"/>
      <c r="AG35" s="7"/>
      <c r="AH35" s="7"/>
      <c r="AI35" s="7"/>
      <c r="AK35" s="17"/>
      <c r="AL35" s="5"/>
      <c r="AM35" s="5"/>
      <c r="AN35" s="5"/>
      <c r="AO35" s="7"/>
      <c r="AP35" s="7"/>
      <c r="AQ35" s="7"/>
      <c r="AR35" s="7"/>
    </row>
    <row r="36" spans="1:44" ht="15.75" customHeight="1">
      <c r="A36" s="4">
        <v>4</v>
      </c>
      <c r="B36" s="17">
        <v>43</v>
      </c>
      <c r="C36" s="17">
        <v>12.5</v>
      </c>
      <c r="D36" s="17">
        <v>4</v>
      </c>
      <c r="E36" s="17">
        <v>4</v>
      </c>
      <c r="F36" s="27"/>
      <c r="G36" s="24"/>
      <c r="H36" s="7"/>
      <c r="J36" s="17"/>
      <c r="K36" s="5"/>
      <c r="L36" s="5"/>
      <c r="M36" s="5"/>
      <c r="N36" s="7"/>
      <c r="O36" s="7"/>
      <c r="P36" s="7"/>
      <c r="Q36" s="7"/>
      <c r="S36" s="17"/>
      <c r="T36" s="5"/>
      <c r="U36" s="5"/>
      <c r="V36" s="5"/>
      <c r="W36" s="7"/>
      <c r="X36" s="7"/>
      <c r="Y36" s="7"/>
      <c r="Z36" s="7"/>
      <c r="AA36" s="7"/>
      <c r="AB36" s="17"/>
      <c r="AC36" s="5"/>
      <c r="AD36" s="5"/>
      <c r="AE36" s="5"/>
      <c r="AF36" s="7"/>
      <c r="AG36" s="7"/>
      <c r="AH36" s="7"/>
      <c r="AI36" s="7"/>
      <c r="AK36" s="17"/>
      <c r="AL36" s="5"/>
      <c r="AM36" s="5"/>
      <c r="AN36" s="5"/>
      <c r="AO36" s="7"/>
      <c r="AP36" s="7"/>
      <c r="AQ36" s="7"/>
      <c r="AR36" s="7"/>
    </row>
    <row r="37" spans="1:44" ht="15.75" customHeight="1">
      <c r="A37" s="4">
        <v>5</v>
      </c>
      <c r="B37" s="17">
        <v>44</v>
      </c>
      <c r="C37" s="17">
        <v>12</v>
      </c>
      <c r="D37" s="17">
        <v>2</v>
      </c>
      <c r="E37" s="17">
        <v>3.5</v>
      </c>
      <c r="F37" s="27"/>
      <c r="G37" s="24"/>
      <c r="H37" s="7"/>
      <c r="J37" s="17"/>
      <c r="K37" s="5"/>
      <c r="L37" s="5"/>
      <c r="M37" s="5"/>
      <c r="N37" s="7"/>
      <c r="O37" s="7"/>
      <c r="P37" s="7"/>
      <c r="Q37" s="7"/>
      <c r="S37" s="17"/>
      <c r="T37" s="5"/>
      <c r="U37" s="5"/>
      <c r="V37" s="5"/>
      <c r="W37" s="7"/>
      <c r="X37" s="7"/>
      <c r="Y37" s="7"/>
      <c r="Z37" s="7"/>
      <c r="AA37" s="7"/>
      <c r="AB37" s="17"/>
      <c r="AC37" s="5"/>
      <c r="AD37" s="5"/>
      <c r="AE37" s="5"/>
      <c r="AF37" s="7"/>
      <c r="AG37" s="7"/>
      <c r="AH37" s="7"/>
      <c r="AI37" s="7"/>
      <c r="AK37" s="17"/>
      <c r="AL37" s="5"/>
      <c r="AM37" s="5"/>
      <c r="AN37" s="5"/>
      <c r="AO37" s="7"/>
      <c r="AP37" s="7"/>
      <c r="AQ37" s="7"/>
      <c r="AR37" s="7"/>
    </row>
    <row r="38" spans="1:44" ht="15.75" customHeight="1">
      <c r="A38" s="4">
        <v>6</v>
      </c>
      <c r="B38" s="17">
        <v>35</v>
      </c>
      <c r="C38" s="17">
        <v>12.5</v>
      </c>
      <c r="D38" s="17">
        <v>4</v>
      </c>
      <c r="E38" s="17">
        <v>5</v>
      </c>
      <c r="F38" s="27"/>
      <c r="G38" s="24"/>
      <c r="H38" s="7"/>
      <c r="J38" s="17"/>
      <c r="K38" s="5"/>
      <c r="L38" s="5"/>
      <c r="M38" s="5"/>
      <c r="N38" s="7"/>
      <c r="O38" s="7"/>
      <c r="P38" s="7"/>
      <c r="Q38" s="7"/>
      <c r="S38" s="17"/>
      <c r="T38" s="5"/>
      <c r="U38" s="5"/>
      <c r="V38" s="5"/>
      <c r="W38" s="7"/>
      <c r="X38" s="7"/>
      <c r="Y38" s="7"/>
      <c r="Z38" s="7"/>
      <c r="AA38" s="7"/>
      <c r="AB38" s="17"/>
      <c r="AC38" s="5"/>
      <c r="AD38" s="5"/>
      <c r="AE38" s="5"/>
      <c r="AF38" s="7"/>
      <c r="AG38" s="7"/>
      <c r="AH38" s="7"/>
      <c r="AI38" s="7"/>
      <c r="AK38" s="17"/>
      <c r="AL38" s="5"/>
      <c r="AM38" s="5"/>
      <c r="AN38" s="5"/>
      <c r="AO38" s="7"/>
      <c r="AP38" s="7"/>
      <c r="AQ38" s="7"/>
      <c r="AR38" s="7"/>
    </row>
    <row r="39" spans="1:44" ht="15.75" customHeight="1">
      <c r="A39" s="4">
        <v>7</v>
      </c>
      <c r="B39" s="17">
        <v>39.5</v>
      </c>
      <c r="C39" s="17">
        <v>12</v>
      </c>
      <c r="D39" s="17">
        <v>2</v>
      </c>
      <c r="E39" s="17">
        <v>2</v>
      </c>
      <c r="F39" s="27"/>
      <c r="G39" s="24"/>
      <c r="H39" s="7"/>
      <c r="J39" s="17"/>
      <c r="K39" s="5"/>
      <c r="L39" s="5"/>
      <c r="M39" s="5"/>
      <c r="N39" s="7"/>
      <c r="O39" s="7"/>
      <c r="P39" s="7"/>
      <c r="Q39" s="7"/>
      <c r="S39" s="17"/>
      <c r="T39" s="5"/>
      <c r="U39" s="5"/>
      <c r="V39" s="5"/>
      <c r="W39" s="7"/>
      <c r="X39" s="7"/>
      <c r="Y39" s="7"/>
      <c r="Z39" s="7"/>
      <c r="AA39" s="7"/>
      <c r="AB39" s="17"/>
      <c r="AC39" s="5"/>
      <c r="AD39" s="5"/>
      <c r="AE39" s="5"/>
      <c r="AF39" s="7"/>
      <c r="AG39" s="7"/>
      <c r="AH39" s="7"/>
      <c r="AI39" s="7"/>
      <c r="AK39" s="17"/>
      <c r="AL39" s="5"/>
      <c r="AM39" s="5"/>
      <c r="AN39" s="5"/>
      <c r="AO39" s="7"/>
      <c r="AP39" s="7"/>
      <c r="AQ39" s="7"/>
      <c r="AR39" s="7"/>
    </row>
    <row r="40" spans="1:44" ht="15.75" customHeight="1">
      <c r="A40" s="4">
        <v>8</v>
      </c>
      <c r="B40" s="17">
        <v>35</v>
      </c>
      <c r="C40" s="17">
        <v>14.5</v>
      </c>
      <c r="D40" s="17">
        <v>2</v>
      </c>
      <c r="E40" s="17">
        <v>3</v>
      </c>
      <c r="F40" s="27"/>
      <c r="G40" s="24"/>
      <c r="H40" s="7"/>
      <c r="J40" s="17"/>
      <c r="K40" s="5"/>
      <c r="L40" s="5"/>
      <c r="M40" s="5"/>
      <c r="N40" s="7"/>
      <c r="O40" s="7"/>
      <c r="P40" s="7"/>
      <c r="Q40" s="7"/>
      <c r="S40" s="17"/>
      <c r="T40" s="5"/>
      <c r="U40" s="5"/>
      <c r="V40" s="5"/>
      <c r="W40" s="7"/>
      <c r="X40" s="7"/>
      <c r="Y40" s="7"/>
      <c r="Z40" s="7"/>
      <c r="AA40" s="7"/>
      <c r="AB40" s="17"/>
      <c r="AC40" s="5"/>
      <c r="AD40" s="5"/>
      <c r="AE40" s="5"/>
      <c r="AF40" s="7"/>
      <c r="AG40" s="7"/>
      <c r="AH40" s="7"/>
      <c r="AI40" s="7"/>
      <c r="AK40" s="17"/>
      <c r="AL40" s="5"/>
      <c r="AM40" s="5"/>
      <c r="AN40" s="5"/>
      <c r="AO40" s="7"/>
      <c r="AP40" s="7"/>
      <c r="AQ40" s="7"/>
      <c r="AR40" s="7"/>
    </row>
    <row r="41" spans="1:44" ht="15.75" customHeight="1">
      <c r="A41" s="4">
        <v>9</v>
      </c>
      <c r="B41" s="17">
        <v>35.5</v>
      </c>
      <c r="C41" s="17">
        <v>13.5</v>
      </c>
      <c r="D41" s="17">
        <v>4</v>
      </c>
      <c r="E41" s="17">
        <v>3</v>
      </c>
      <c r="F41" s="27"/>
      <c r="G41" s="24"/>
      <c r="H41" s="7"/>
      <c r="J41" s="17"/>
      <c r="K41" s="5"/>
      <c r="L41" s="5"/>
      <c r="M41" s="5"/>
      <c r="N41" s="7"/>
      <c r="O41" s="7"/>
      <c r="P41" s="7"/>
      <c r="Q41" s="7"/>
      <c r="S41" s="17"/>
      <c r="T41" s="5"/>
      <c r="U41" s="5"/>
      <c r="V41" s="5"/>
      <c r="W41" s="7"/>
      <c r="X41" s="7"/>
      <c r="Y41" s="7"/>
      <c r="Z41" s="7"/>
      <c r="AA41" s="7"/>
      <c r="AB41" s="17"/>
      <c r="AC41" s="5"/>
      <c r="AD41" s="5"/>
      <c r="AE41" s="5"/>
      <c r="AF41" s="7"/>
      <c r="AG41" s="7"/>
      <c r="AH41" s="7"/>
      <c r="AI41" s="7"/>
      <c r="AK41" s="17"/>
      <c r="AL41" s="5"/>
      <c r="AM41" s="5"/>
      <c r="AN41" s="5"/>
      <c r="AO41" s="7"/>
      <c r="AP41" s="7"/>
      <c r="AQ41" s="7"/>
      <c r="AR41" s="7"/>
    </row>
    <row r="42" spans="1:44" ht="15.75" customHeight="1">
      <c r="A42" s="4">
        <v>10</v>
      </c>
      <c r="B42" s="17">
        <v>45</v>
      </c>
      <c r="C42" s="17">
        <v>11</v>
      </c>
      <c r="D42" s="17">
        <v>4</v>
      </c>
      <c r="E42" s="17">
        <v>3.5</v>
      </c>
      <c r="F42" s="27"/>
      <c r="G42" s="24"/>
      <c r="H42" s="7"/>
      <c r="J42" s="17"/>
      <c r="K42" s="5"/>
      <c r="L42" s="5"/>
      <c r="M42" s="5"/>
      <c r="N42" s="7"/>
      <c r="O42" s="7"/>
      <c r="P42" s="7"/>
      <c r="Q42" s="7"/>
      <c r="S42" s="17"/>
      <c r="T42" s="5"/>
      <c r="U42" s="5"/>
      <c r="V42" s="5"/>
      <c r="W42" s="7"/>
      <c r="X42" s="7"/>
      <c r="Y42" s="7"/>
      <c r="Z42" s="7"/>
      <c r="AA42" s="7"/>
      <c r="AB42" s="17"/>
      <c r="AC42" s="5"/>
      <c r="AD42" s="5"/>
      <c r="AE42" s="5"/>
      <c r="AF42" s="7"/>
      <c r="AG42" s="7"/>
      <c r="AH42" s="7"/>
      <c r="AI42" s="7"/>
      <c r="AK42" s="17"/>
      <c r="AL42" s="5"/>
      <c r="AM42" s="5"/>
      <c r="AN42" s="5"/>
      <c r="AO42" s="7"/>
      <c r="AP42" s="7"/>
      <c r="AQ42" s="7"/>
      <c r="AR42" s="7"/>
    </row>
    <row r="43" spans="1:44" ht="15.75" customHeight="1">
      <c r="A43" s="8">
        <v>11</v>
      </c>
      <c r="B43" s="17">
        <v>43.5</v>
      </c>
      <c r="C43" s="17">
        <v>10.5</v>
      </c>
      <c r="D43" s="17">
        <v>2</v>
      </c>
      <c r="E43" s="17">
        <v>2.5</v>
      </c>
      <c r="F43" s="7"/>
      <c r="G43" s="7"/>
      <c r="H43" s="7"/>
      <c r="J43" s="17"/>
      <c r="K43" s="5"/>
      <c r="L43" s="5"/>
      <c r="M43" s="5"/>
      <c r="N43" s="7"/>
      <c r="O43" s="7"/>
      <c r="P43" s="7"/>
      <c r="Q43" s="7"/>
      <c r="S43" s="17"/>
      <c r="T43" s="5"/>
      <c r="U43" s="5"/>
      <c r="V43" s="5"/>
      <c r="W43" s="7"/>
      <c r="X43" s="7"/>
      <c r="Y43" s="7"/>
      <c r="Z43" s="7"/>
      <c r="AA43" s="7"/>
      <c r="AB43" s="17"/>
      <c r="AC43" s="5"/>
      <c r="AD43" s="5"/>
      <c r="AE43" s="5"/>
      <c r="AF43" s="7"/>
      <c r="AG43" s="7"/>
      <c r="AH43" s="7"/>
      <c r="AI43" s="7"/>
      <c r="AK43" s="17"/>
      <c r="AL43" s="5"/>
      <c r="AM43" s="5"/>
      <c r="AN43" s="5"/>
      <c r="AO43" s="7"/>
      <c r="AP43" s="7"/>
      <c r="AQ43" s="7"/>
      <c r="AR43" s="7"/>
    </row>
    <row r="44" spans="1:44" ht="15.75" customHeight="1">
      <c r="A44" s="8">
        <v>12</v>
      </c>
      <c r="B44" s="1">
        <v>39.5</v>
      </c>
      <c r="C44" s="1">
        <v>11</v>
      </c>
      <c r="D44" s="1">
        <v>2</v>
      </c>
      <c r="E44" s="1">
        <v>3.5</v>
      </c>
      <c r="F44" s="7"/>
      <c r="G44" s="7"/>
      <c r="H44" s="7"/>
      <c r="J44" s="5"/>
      <c r="K44" s="5"/>
      <c r="L44" s="5"/>
      <c r="M44" s="5"/>
      <c r="N44" s="7"/>
      <c r="O44" s="7"/>
      <c r="P44" s="7"/>
      <c r="Q44" s="7"/>
      <c r="S44" s="5"/>
      <c r="T44" s="5"/>
      <c r="U44" s="5"/>
      <c r="V44" s="5"/>
      <c r="W44" s="7"/>
      <c r="X44" s="7"/>
      <c r="Y44" s="7"/>
      <c r="Z44" s="7"/>
      <c r="AA44" s="7"/>
      <c r="AB44" s="5"/>
      <c r="AC44" s="5"/>
      <c r="AD44" s="5"/>
      <c r="AE44" s="5"/>
      <c r="AF44" s="7"/>
      <c r="AG44" s="7"/>
      <c r="AH44" s="7"/>
      <c r="AI44" s="7"/>
      <c r="AK44" s="5"/>
      <c r="AL44" s="5"/>
      <c r="AM44" s="5"/>
      <c r="AN44" s="5"/>
      <c r="AO44" s="7"/>
      <c r="AP44" s="7"/>
      <c r="AQ44" s="7"/>
      <c r="AR44" s="7"/>
    </row>
    <row r="45" spans="1:44" ht="15.75" customHeight="1">
      <c r="A45" s="8">
        <v>13</v>
      </c>
      <c r="B45" s="1">
        <v>45</v>
      </c>
      <c r="C45" s="1">
        <v>10</v>
      </c>
      <c r="D45" s="1">
        <v>2</v>
      </c>
      <c r="E45" s="1">
        <v>3</v>
      </c>
      <c r="F45" s="7"/>
      <c r="G45" s="7"/>
      <c r="H45" s="7"/>
      <c r="J45" s="5"/>
      <c r="K45" s="5"/>
      <c r="L45" s="5"/>
      <c r="M45" s="5"/>
      <c r="N45" s="7"/>
      <c r="O45" s="7"/>
      <c r="P45" s="7"/>
      <c r="Q45" s="7"/>
      <c r="S45" s="5"/>
      <c r="T45" s="5"/>
      <c r="U45" s="5"/>
      <c r="V45" s="5"/>
      <c r="W45" s="7"/>
      <c r="X45" s="7"/>
      <c r="Y45" s="7"/>
      <c r="Z45" s="7"/>
      <c r="AA45" s="7"/>
      <c r="AB45" s="5"/>
      <c r="AC45" s="5"/>
      <c r="AD45" s="5"/>
      <c r="AE45" s="5"/>
      <c r="AF45" s="7"/>
      <c r="AG45" s="7"/>
      <c r="AH45" s="7"/>
      <c r="AI45" s="7"/>
      <c r="AK45" s="5"/>
      <c r="AL45" s="5"/>
      <c r="AM45" s="5"/>
      <c r="AN45" s="5"/>
      <c r="AO45" s="7"/>
      <c r="AP45" s="7"/>
      <c r="AQ45" s="7"/>
      <c r="AR45" s="7"/>
    </row>
    <row r="46" spans="1:44" ht="15.75" customHeight="1">
      <c r="A46" s="8">
        <v>14</v>
      </c>
      <c r="B46" s="1">
        <v>45</v>
      </c>
      <c r="C46" s="1">
        <v>12.5</v>
      </c>
      <c r="D46" s="1">
        <v>4</v>
      </c>
      <c r="E46" s="1">
        <v>5</v>
      </c>
      <c r="F46" s="7"/>
      <c r="G46" s="7"/>
      <c r="H46" s="7"/>
      <c r="J46" s="5"/>
      <c r="K46" s="5"/>
      <c r="L46" s="5"/>
      <c r="M46" s="5"/>
      <c r="N46" s="7"/>
      <c r="O46" s="7"/>
      <c r="P46" s="7"/>
      <c r="Q46" s="7"/>
      <c r="S46" s="5"/>
      <c r="T46" s="5"/>
      <c r="U46" s="5"/>
      <c r="V46" s="5"/>
      <c r="W46" s="7"/>
      <c r="X46" s="7"/>
      <c r="Y46" s="7"/>
      <c r="Z46" s="7"/>
      <c r="AA46" s="7"/>
      <c r="AB46" s="5"/>
      <c r="AC46" s="5"/>
      <c r="AD46" s="5"/>
      <c r="AE46" s="5"/>
      <c r="AF46" s="7"/>
      <c r="AG46" s="7"/>
      <c r="AH46" s="7"/>
      <c r="AI46" s="7"/>
      <c r="AK46" s="5"/>
      <c r="AL46" s="5"/>
      <c r="AM46" s="5"/>
      <c r="AN46" s="5"/>
      <c r="AO46" s="7"/>
      <c r="AP46" s="7"/>
      <c r="AQ46" s="7"/>
      <c r="AR46" s="7"/>
    </row>
    <row r="47" spans="1:44" ht="15.75" customHeight="1">
      <c r="A47" s="8">
        <v>15</v>
      </c>
      <c r="B47" s="1">
        <v>44</v>
      </c>
      <c r="C47" s="1">
        <v>11</v>
      </c>
      <c r="D47" s="1">
        <v>4</v>
      </c>
      <c r="E47" s="1">
        <v>3.5</v>
      </c>
      <c r="F47" s="7"/>
      <c r="G47" s="7"/>
      <c r="H47" s="7"/>
      <c r="J47" s="7"/>
      <c r="K47" s="7"/>
      <c r="L47" s="7"/>
      <c r="M47" s="7"/>
      <c r="N47" s="7"/>
      <c r="O47" s="7"/>
      <c r="P47" s="7"/>
      <c r="Q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K47" s="7"/>
      <c r="AL47" s="7"/>
      <c r="AM47" s="7"/>
      <c r="AN47" s="7"/>
      <c r="AO47" s="7"/>
      <c r="AP47" s="7"/>
      <c r="AQ47" s="7"/>
      <c r="AR47" s="7"/>
    </row>
    <row r="48" spans="1:44" ht="15.75" customHeight="1">
      <c r="A48" s="8">
        <v>16</v>
      </c>
      <c r="D48" s="1">
        <v>4</v>
      </c>
      <c r="F48" s="7"/>
      <c r="G48" s="14" t="s">
        <v>304</v>
      </c>
      <c r="H48" s="7"/>
      <c r="J48" s="7"/>
      <c r="K48" s="7"/>
      <c r="L48" s="7"/>
      <c r="M48" s="7"/>
      <c r="N48" s="7"/>
      <c r="O48" s="7"/>
      <c r="P48" s="7"/>
      <c r="Q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K48" s="7"/>
      <c r="AL48" s="7"/>
      <c r="AM48" s="7"/>
      <c r="AN48" s="7"/>
      <c r="AO48" s="7"/>
      <c r="AP48" s="7"/>
      <c r="AQ48" s="7"/>
      <c r="AR48" s="7"/>
    </row>
    <row r="49" spans="1:44" ht="15.75" customHeight="1">
      <c r="A49" s="8">
        <v>17</v>
      </c>
      <c r="D49" s="1">
        <v>4</v>
      </c>
      <c r="F49" s="7"/>
      <c r="G49" s="7"/>
      <c r="H49" s="7"/>
      <c r="J49" s="14"/>
      <c r="K49" s="7"/>
      <c r="L49" s="7"/>
      <c r="M49" s="7"/>
      <c r="N49" s="7"/>
      <c r="O49" s="7"/>
      <c r="P49" s="7"/>
      <c r="Q49" s="7"/>
      <c r="S49" s="14"/>
      <c r="T49" s="7"/>
      <c r="U49" s="7"/>
      <c r="V49" s="7"/>
      <c r="W49" s="7"/>
      <c r="X49" s="7"/>
      <c r="Y49" s="7"/>
      <c r="Z49" s="7"/>
      <c r="AA49" s="7"/>
      <c r="AB49" s="14"/>
      <c r="AC49" s="7"/>
      <c r="AD49" s="7"/>
      <c r="AE49" s="7"/>
      <c r="AF49" s="7"/>
      <c r="AG49" s="7"/>
      <c r="AH49" s="7"/>
      <c r="AI49" s="7"/>
      <c r="AK49" s="14"/>
      <c r="AL49" s="7"/>
      <c r="AM49" s="7"/>
      <c r="AN49" s="7"/>
      <c r="AO49" s="7"/>
      <c r="AP49" s="7"/>
      <c r="AQ49" s="7"/>
      <c r="AR49" s="7"/>
    </row>
    <row r="50" spans="1:44" ht="15.75" customHeight="1">
      <c r="A50" s="8">
        <v>18</v>
      </c>
      <c r="D50" s="1">
        <v>4</v>
      </c>
      <c r="F50" s="7"/>
      <c r="G50" s="7"/>
      <c r="H50" s="7"/>
      <c r="J50" s="5"/>
      <c r="K50" s="5"/>
      <c r="L50" s="5"/>
      <c r="M50" s="5"/>
      <c r="N50" s="5"/>
      <c r="O50" s="7"/>
      <c r="P50" s="7"/>
      <c r="Q50" s="7"/>
      <c r="S50" s="5"/>
      <c r="T50" s="5"/>
      <c r="U50" s="5"/>
      <c r="V50" s="5"/>
      <c r="W50" s="5"/>
      <c r="X50" s="7"/>
      <c r="Y50" s="7"/>
      <c r="Z50" s="7"/>
      <c r="AA50" s="7"/>
      <c r="AB50" s="5"/>
      <c r="AC50" s="5"/>
      <c r="AD50" s="5"/>
      <c r="AE50" s="5"/>
      <c r="AF50" s="5"/>
      <c r="AG50" s="7"/>
      <c r="AH50" s="7"/>
      <c r="AI50" s="7"/>
      <c r="AK50" s="5"/>
      <c r="AL50" s="5"/>
      <c r="AM50" s="5"/>
      <c r="AN50" s="5"/>
      <c r="AO50" s="5"/>
      <c r="AP50" s="7"/>
      <c r="AQ50" s="7"/>
      <c r="AR50" s="7"/>
    </row>
    <row r="51" spans="1:44" ht="15.75" customHeight="1">
      <c r="A51" s="8">
        <v>19</v>
      </c>
      <c r="D51" s="1">
        <v>4</v>
      </c>
      <c r="F51" s="7"/>
      <c r="G51" s="7"/>
      <c r="H51" s="7"/>
      <c r="J51" s="5"/>
      <c r="K51" s="5"/>
      <c r="L51" s="5"/>
      <c r="M51" s="5"/>
      <c r="N51" s="5"/>
      <c r="O51" s="7"/>
      <c r="P51" s="7"/>
      <c r="Q51" s="7"/>
      <c r="S51" s="5"/>
      <c r="T51" s="5"/>
      <c r="U51" s="5"/>
      <c r="V51" s="5"/>
      <c r="W51" s="5"/>
      <c r="X51" s="7"/>
      <c r="Y51" s="7"/>
      <c r="Z51" s="7"/>
      <c r="AA51" s="7"/>
      <c r="AB51" s="5"/>
      <c r="AC51" s="5"/>
      <c r="AD51" s="5"/>
      <c r="AE51" s="5"/>
      <c r="AF51" s="5"/>
      <c r="AG51" s="7"/>
      <c r="AH51" s="7"/>
      <c r="AI51" s="7"/>
      <c r="AK51" s="5"/>
      <c r="AL51" s="5"/>
      <c r="AM51" s="5"/>
      <c r="AN51" s="5"/>
      <c r="AO51" s="5"/>
      <c r="AP51" s="7"/>
      <c r="AQ51" s="7"/>
      <c r="AR51" s="7"/>
    </row>
    <row r="52" spans="1:44" ht="15.75" customHeight="1">
      <c r="A52" s="8">
        <v>20</v>
      </c>
      <c r="B52" s="5"/>
      <c r="C52" s="5"/>
      <c r="D52" s="17">
        <v>3</v>
      </c>
      <c r="E52" s="7"/>
      <c r="F52" s="27"/>
      <c r="G52" s="24"/>
      <c r="H52" s="7"/>
      <c r="J52" s="5"/>
      <c r="K52" s="5"/>
      <c r="L52" s="5"/>
      <c r="M52" s="5"/>
      <c r="N52" s="7"/>
      <c r="O52" s="27"/>
      <c r="P52" s="24"/>
      <c r="Q52" s="7"/>
      <c r="S52" s="5"/>
      <c r="T52" s="5"/>
      <c r="U52" s="5"/>
      <c r="V52" s="5"/>
      <c r="W52" s="7"/>
      <c r="X52" s="27"/>
      <c r="Y52" s="24"/>
      <c r="Z52" s="7"/>
      <c r="AA52" s="7"/>
      <c r="AB52" s="5"/>
      <c r="AC52" s="5"/>
      <c r="AD52" s="5"/>
      <c r="AE52" s="5"/>
      <c r="AF52" s="7"/>
      <c r="AG52" s="27"/>
      <c r="AH52" s="24"/>
      <c r="AI52" s="7"/>
      <c r="AK52" s="5"/>
      <c r="AL52" s="5"/>
      <c r="AM52" s="5"/>
      <c r="AN52" s="5"/>
      <c r="AO52" s="7"/>
      <c r="AP52" s="27"/>
      <c r="AQ52" s="24"/>
      <c r="AR52" s="7"/>
    </row>
    <row r="53" spans="1:44" ht="15.75" customHeight="1">
      <c r="A53" s="8">
        <v>21</v>
      </c>
      <c r="B53" s="5"/>
      <c r="C53" s="5"/>
      <c r="D53" s="17">
        <v>2</v>
      </c>
      <c r="E53" s="5"/>
      <c r="F53" s="27"/>
      <c r="G53" s="24"/>
      <c r="H53" s="7"/>
      <c r="J53" s="5"/>
      <c r="K53" s="5"/>
      <c r="L53" s="5"/>
      <c r="M53" s="5"/>
      <c r="N53" s="5"/>
      <c r="O53" s="27"/>
      <c r="P53" s="24"/>
      <c r="Q53" s="7"/>
      <c r="S53" s="5"/>
      <c r="T53" s="5"/>
      <c r="U53" s="5"/>
      <c r="V53" s="5"/>
      <c r="W53" s="5"/>
      <c r="X53" s="27"/>
      <c r="Y53" s="24"/>
      <c r="Z53" s="7"/>
      <c r="AA53" s="7"/>
      <c r="AB53" s="5"/>
      <c r="AC53" s="5"/>
      <c r="AD53" s="5"/>
      <c r="AE53" s="5"/>
      <c r="AF53" s="5"/>
      <c r="AG53" s="27"/>
      <c r="AH53" s="24"/>
      <c r="AI53" s="7"/>
      <c r="AK53" s="5"/>
      <c r="AL53" s="5"/>
      <c r="AM53" s="5"/>
      <c r="AN53" s="5"/>
      <c r="AO53" s="5"/>
      <c r="AP53" s="27"/>
      <c r="AQ53" s="24"/>
      <c r="AR53" s="7"/>
    </row>
    <row r="54" spans="1:44" ht="14">
      <c r="A54" s="8">
        <v>22</v>
      </c>
      <c r="B54" s="5"/>
      <c r="C54" s="5"/>
      <c r="D54" s="17">
        <v>4</v>
      </c>
      <c r="E54" s="5"/>
      <c r="F54" s="25" t="s">
        <v>305</v>
      </c>
      <c r="G54" s="24"/>
      <c r="H54" s="7"/>
      <c r="J54" s="5"/>
      <c r="K54" s="5"/>
      <c r="L54" s="5"/>
      <c r="M54" s="5"/>
      <c r="N54" s="5"/>
      <c r="O54" s="27"/>
      <c r="P54" s="24"/>
      <c r="Q54" s="7"/>
      <c r="S54" s="5"/>
      <c r="T54" s="5"/>
      <c r="U54" s="5"/>
      <c r="V54" s="5"/>
      <c r="W54" s="5"/>
      <c r="X54" s="27"/>
      <c r="Y54" s="24"/>
      <c r="Z54" s="7"/>
      <c r="AA54" s="7"/>
      <c r="AB54" s="5"/>
      <c r="AC54" s="5"/>
      <c r="AD54" s="5"/>
      <c r="AE54" s="5"/>
      <c r="AF54" s="5"/>
      <c r="AG54" s="27"/>
      <c r="AH54" s="24"/>
      <c r="AI54" s="7"/>
      <c r="AK54" s="5"/>
      <c r="AL54" s="5"/>
      <c r="AM54" s="5"/>
      <c r="AN54" s="5"/>
      <c r="AO54" s="5"/>
      <c r="AP54" s="27"/>
      <c r="AQ54" s="24"/>
      <c r="AR54" s="7"/>
    </row>
    <row r="55" spans="1:44" ht="14">
      <c r="A55" s="8">
        <v>23</v>
      </c>
      <c r="B55" s="5"/>
      <c r="C55" s="5"/>
      <c r="D55" s="17">
        <v>4</v>
      </c>
      <c r="E55" s="5"/>
      <c r="F55" s="27"/>
      <c r="G55" s="24"/>
      <c r="H55" s="7"/>
      <c r="J55" s="5"/>
      <c r="K55" s="5"/>
      <c r="L55" s="5"/>
      <c r="M55" s="5"/>
      <c r="N55" s="5"/>
      <c r="O55" s="27"/>
      <c r="P55" s="24"/>
      <c r="Q55" s="7"/>
      <c r="S55" s="5"/>
      <c r="T55" s="5"/>
      <c r="U55" s="5"/>
      <c r="V55" s="5"/>
      <c r="W55" s="5"/>
      <c r="X55" s="27"/>
      <c r="Y55" s="24"/>
      <c r="Z55" s="7"/>
      <c r="AA55" s="7"/>
      <c r="AB55" s="5"/>
      <c r="AC55" s="5"/>
      <c r="AD55" s="5"/>
      <c r="AE55" s="5"/>
      <c r="AF55" s="5"/>
      <c r="AG55" s="27"/>
      <c r="AH55" s="24"/>
      <c r="AI55" s="7"/>
      <c r="AK55" s="5"/>
      <c r="AL55" s="5"/>
      <c r="AM55" s="5"/>
      <c r="AN55" s="5"/>
      <c r="AO55" s="5"/>
      <c r="AP55" s="27"/>
      <c r="AQ55" s="24"/>
      <c r="AR55" s="7"/>
    </row>
    <row r="56" spans="1:44" ht="14">
      <c r="A56" s="8">
        <v>24</v>
      </c>
      <c r="B56" s="5"/>
      <c r="C56" s="5"/>
      <c r="D56" s="17">
        <v>4</v>
      </c>
      <c r="E56" s="5"/>
      <c r="F56" s="27"/>
      <c r="G56" s="24"/>
      <c r="H56" s="7"/>
      <c r="J56" s="5"/>
      <c r="K56" s="5"/>
      <c r="L56" s="5"/>
      <c r="M56" s="5"/>
      <c r="N56" s="5"/>
      <c r="O56" s="27"/>
      <c r="P56" s="24"/>
      <c r="Q56" s="7"/>
      <c r="S56" s="5"/>
      <c r="T56" s="5"/>
      <c r="U56" s="5"/>
      <c r="V56" s="5"/>
      <c r="W56" s="5"/>
      <c r="X56" s="27"/>
      <c r="Y56" s="24"/>
      <c r="Z56" s="7"/>
      <c r="AA56" s="7"/>
      <c r="AB56" s="5"/>
      <c r="AC56" s="5"/>
      <c r="AD56" s="5"/>
      <c r="AE56" s="5"/>
      <c r="AF56" s="5"/>
      <c r="AG56" s="27"/>
      <c r="AH56" s="24"/>
      <c r="AI56" s="7"/>
      <c r="AK56" s="5"/>
      <c r="AL56" s="5"/>
      <c r="AM56" s="5"/>
      <c r="AN56" s="5"/>
      <c r="AO56" s="5"/>
      <c r="AP56" s="27"/>
      <c r="AQ56" s="24"/>
      <c r="AR56" s="7"/>
    </row>
    <row r="57" spans="1:44" ht="14">
      <c r="A57" s="8">
        <v>25</v>
      </c>
      <c r="B57" s="5"/>
      <c r="C57" s="5"/>
      <c r="D57" s="17">
        <v>4</v>
      </c>
      <c r="E57" s="5"/>
      <c r="F57" s="7"/>
      <c r="G57" s="7"/>
      <c r="H57" s="7"/>
      <c r="J57" s="5"/>
      <c r="K57" s="5"/>
      <c r="L57" s="5"/>
      <c r="M57" s="5"/>
      <c r="N57" s="5"/>
      <c r="O57" s="7"/>
      <c r="P57" s="7"/>
      <c r="Q57" s="7"/>
      <c r="S57" s="5"/>
      <c r="T57" s="5"/>
      <c r="U57" s="5"/>
      <c r="V57" s="5"/>
      <c r="W57" s="5"/>
      <c r="X57" s="7"/>
      <c r="Y57" s="7"/>
      <c r="Z57" s="7"/>
      <c r="AA57" s="7"/>
      <c r="AB57" s="5"/>
      <c r="AC57" s="5"/>
      <c r="AD57" s="5"/>
      <c r="AE57" s="5"/>
      <c r="AF57" s="5"/>
      <c r="AG57" s="7"/>
      <c r="AH57" s="7"/>
      <c r="AI57" s="7"/>
      <c r="AK57" s="5"/>
      <c r="AL57" s="5"/>
      <c r="AM57" s="5"/>
      <c r="AN57" s="5"/>
      <c r="AO57" s="5"/>
      <c r="AP57" s="7"/>
      <c r="AQ57" s="7"/>
      <c r="AR57" s="7"/>
    </row>
    <row r="58" spans="1:44" ht="14">
      <c r="A58" s="4" t="s">
        <v>10</v>
      </c>
      <c r="B58" s="5">
        <f t="shared" ref="B58:C58" si="4">AVERAGE(B33:B57)</f>
        <v>41.392857142857146</v>
      </c>
      <c r="C58" s="5">
        <f t="shared" si="4"/>
        <v>11.866666666666667</v>
      </c>
      <c r="D58" s="17" t="s">
        <v>18</v>
      </c>
      <c r="E58" s="7"/>
      <c r="F58" s="27"/>
      <c r="G58" s="24"/>
      <c r="H58" s="7"/>
      <c r="J58" s="5"/>
      <c r="K58" s="5"/>
      <c r="L58" s="5"/>
      <c r="M58" s="5"/>
      <c r="N58" s="5"/>
      <c r="O58" s="27"/>
      <c r="P58" s="24"/>
      <c r="Q58" s="7"/>
      <c r="S58" s="5"/>
      <c r="T58" s="5"/>
      <c r="U58" s="5"/>
      <c r="V58" s="5"/>
      <c r="W58" s="5"/>
      <c r="X58" s="27"/>
      <c r="Y58" s="24"/>
      <c r="Z58" s="7"/>
      <c r="AA58" s="7"/>
      <c r="AB58" s="5"/>
      <c r="AC58" s="5"/>
      <c r="AD58" s="5"/>
      <c r="AE58" s="5"/>
      <c r="AF58" s="5"/>
      <c r="AG58" s="27"/>
      <c r="AH58" s="24"/>
      <c r="AI58" s="7"/>
      <c r="AK58" s="5"/>
      <c r="AL58" s="5"/>
      <c r="AM58" s="5"/>
      <c r="AN58" s="5"/>
      <c r="AO58" s="5"/>
      <c r="AP58" s="27"/>
      <c r="AQ58" s="24"/>
      <c r="AR58" s="7"/>
    </row>
    <row r="59" spans="1:44" ht="14">
      <c r="A59" s="4" t="s">
        <v>11</v>
      </c>
      <c r="B59" s="5">
        <f t="shared" ref="B59:D59" si="5">MIN(B33:B57)</f>
        <v>35</v>
      </c>
      <c r="C59" s="5">
        <f t="shared" si="5"/>
        <v>10</v>
      </c>
      <c r="D59" s="5">
        <f t="shared" si="5"/>
        <v>2</v>
      </c>
      <c r="E59" s="7"/>
      <c r="F59" s="27"/>
      <c r="G59" s="24"/>
      <c r="H59" s="7"/>
      <c r="J59" s="5"/>
      <c r="K59" s="5"/>
      <c r="L59" s="5"/>
      <c r="M59" s="5"/>
      <c r="N59" s="5"/>
      <c r="O59" s="27"/>
      <c r="P59" s="24"/>
      <c r="Q59" s="7"/>
      <c r="S59" s="5"/>
      <c r="T59" s="5"/>
      <c r="U59" s="5"/>
      <c r="V59" s="5"/>
      <c r="W59" s="5"/>
      <c r="X59" s="27"/>
      <c r="Y59" s="24"/>
      <c r="Z59" s="7"/>
      <c r="AA59" s="7"/>
      <c r="AB59" s="5"/>
      <c r="AC59" s="5"/>
      <c r="AD59" s="5"/>
      <c r="AE59" s="5"/>
      <c r="AF59" s="5"/>
      <c r="AG59" s="27"/>
      <c r="AH59" s="24"/>
      <c r="AI59" s="7"/>
      <c r="AK59" s="5"/>
      <c r="AL59" s="5"/>
      <c r="AM59" s="5"/>
      <c r="AN59" s="5"/>
      <c r="AO59" s="5"/>
      <c r="AP59" s="27"/>
      <c r="AQ59" s="24"/>
      <c r="AR59" s="7"/>
    </row>
    <row r="60" spans="1:44" ht="14">
      <c r="A60" s="4" t="s">
        <v>12</v>
      </c>
      <c r="B60" s="5">
        <f t="shared" ref="B60:D60" si="6">MAX(B34:B58)</f>
        <v>45</v>
      </c>
      <c r="C60" s="5">
        <f t="shared" si="6"/>
        <v>14.5</v>
      </c>
      <c r="D60" s="5">
        <f t="shared" si="6"/>
        <v>4</v>
      </c>
      <c r="E60" s="7"/>
      <c r="F60" s="27"/>
      <c r="G60" s="24"/>
      <c r="H60" s="7"/>
      <c r="J60" s="5"/>
      <c r="K60" s="5"/>
      <c r="L60" s="5"/>
      <c r="M60" s="5"/>
      <c r="N60" s="5"/>
      <c r="O60" s="27"/>
      <c r="P60" s="24"/>
      <c r="Q60" s="7"/>
      <c r="S60" s="5"/>
      <c r="T60" s="5"/>
      <c r="U60" s="5"/>
      <c r="V60" s="5"/>
      <c r="W60" s="5"/>
      <c r="X60" s="27"/>
      <c r="Y60" s="24"/>
      <c r="Z60" s="7"/>
      <c r="AA60" s="7"/>
      <c r="AB60" s="5"/>
      <c r="AC60" s="5"/>
      <c r="AD60" s="5"/>
      <c r="AE60" s="5"/>
      <c r="AF60" s="5"/>
      <c r="AG60" s="27"/>
      <c r="AH60" s="24"/>
      <c r="AI60" s="7"/>
      <c r="AK60" s="5"/>
      <c r="AL60" s="5"/>
      <c r="AM60" s="5"/>
      <c r="AN60" s="5"/>
      <c r="AO60" s="5"/>
      <c r="AP60" s="27"/>
      <c r="AQ60" s="24"/>
      <c r="AR60" s="7"/>
    </row>
    <row r="61" spans="1:44" ht="14">
      <c r="A61" s="2"/>
      <c r="B61" s="7"/>
      <c r="C61" s="7"/>
      <c r="D61" s="7"/>
      <c r="E61" s="7"/>
      <c r="F61" s="7"/>
      <c r="G61" s="7"/>
      <c r="H61" s="7"/>
      <c r="J61" s="17"/>
      <c r="K61" s="5"/>
      <c r="L61" s="5"/>
      <c r="M61" s="5"/>
      <c r="N61" s="7"/>
      <c r="O61" s="7"/>
      <c r="P61" s="7"/>
      <c r="Q61" s="7"/>
      <c r="S61" s="17"/>
      <c r="T61" s="5"/>
      <c r="U61" s="5"/>
      <c r="V61" s="5"/>
      <c r="W61" s="7"/>
      <c r="X61" s="7"/>
      <c r="Y61" s="7"/>
      <c r="Z61" s="7"/>
      <c r="AA61" s="7"/>
      <c r="AB61" s="17"/>
      <c r="AC61" s="5"/>
      <c r="AD61" s="5"/>
      <c r="AE61" s="5"/>
      <c r="AF61" s="7"/>
      <c r="AG61" s="7"/>
      <c r="AH61" s="7"/>
      <c r="AI61" s="7"/>
      <c r="AK61" s="17"/>
      <c r="AL61" s="5"/>
      <c r="AM61" s="5"/>
      <c r="AN61" s="5"/>
      <c r="AO61" s="7"/>
      <c r="AP61" s="7"/>
      <c r="AQ61" s="7"/>
      <c r="AR61" s="7"/>
    </row>
    <row r="62" spans="1:44" ht="14">
      <c r="A62" s="2" t="s">
        <v>19</v>
      </c>
      <c r="B62" s="7" t="s">
        <v>20</v>
      </c>
      <c r="C62" s="7" t="s">
        <v>21</v>
      </c>
      <c r="D62" s="23" t="s">
        <v>22</v>
      </c>
      <c r="E62" s="24"/>
      <c r="F62" s="14"/>
      <c r="G62" s="14"/>
      <c r="H62" s="14"/>
      <c r="J62" s="17"/>
      <c r="K62" s="5"/>
      <c r="L62" s="5"/>
      <c r="M62" s="5"/>
      <c r="N62" s="7"/>
      <c r="O62" s="7"/>
      <c r="P62" s="7"/>
      <c r="Q62" s="7"/>
      <c r="S62" s="17"/>
      <c r="T62" s="5"/>
      <c r="U62" s="5"/>
      <c r="V62" s="5"/>
      <c r="W62" s="7"/>
      <c r="X62" s="7"/>
      <c r="Y62" s="7"/>
      <c r="Z62" s="7"/>
      <c r="AA62" s="7"/>
      <c r="AB62" s="17"/>
      <c r="AC62" s="5"/>
      <c r="AD62" s="5"/>
      <c r="AE62" s="5"/>
      <c r="AF62" s="7"/>
      <c r="AG62" s="7"/>
      <c r="AH62" s="7"/>
      <c r="AI62" s="7"/>
      <c r="AK62" s="17"/>
      <c r="AL62" s="5"/>
      <c r="AM62" s="5"/>
      <c r="AN62" s="5"/>
      <c r="AO62" s="7"/>
      <c r="AP62" s="7"/>
      <c r="AQ62" s="7"/>
      <c r="AR62" s="7"/>
    </row>
    <row r="63" spans="1:44" ht="14">
      <c r="A63" s="2"/>
      <c r="B63" s="7"/>
      <c r="C63" s="7"/>
      <c r="D63" s="18" t="s">
        <v>225</v>
      </c>
      <c r="E63" s="7"/>
      <c r="F63" s="7"/>
      <c r="G63" s="7"/>
      <c r="H63" s="7"/>
      <c r="J63" s="17"/>
      <c r="K63" s="5"/>
      <c r="L63" s="5"/>
      <c r="M63" s="5"/>
      <c r="N63" s="7"/>
      <c r="O63" s="7"/>
      <c r="P63" s="7"/>
      <c r="Q63" s="7"/>
      <c r="S63" s="17"/>
      <c r="T63" s="5"/>
      <c r="U63" s="5"/>
      <c r="V63" s="5"/>
      <c r="W63" s="7"/>
      <c r="X63" s="7"/>
      <c r="Y63" s="7"/>
      <c r="Z63" s="7"/>
      <c r="AA63" s="7"/>
      <c r="AB63" s="17"/>
      <c r="AC63" s="5"/>
      <c r="AD63" s="5"/>
      <c r="AE63" s="5"/>
      <c r="AF63" s="7"/>
      <c r="AG63" s="7"/>
      <c r="AH63" s="7"/>
      <c r="AI63" s="7"/>
      <c r="AK63" s="17"/>
      <c r="AL63" s="5"/>
      <c r="AM63" s="5"/>
      <c r="AN63" s="5"/>
      <c r="AO63" s="7"/>
      <c r="AP63" s="7"/>
      <c r="AQ63" s="7"/>
      <c r="AR63" s="7"/>
    </row>
    <row r="64" spans="1:44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  <c r="J64" s="17"/>
      <c r="K64" s="5"/>
      <c r="L64" s="5"/>
      <c r="M64" s="5"/>
      <c r="N64" s="7"/>
      <c r="O64" s="7"/>
      <c r="P64" s="7"/>
      <c r="Q64" s="7"/>
      <c r="S64" s="17"/>
      <c r="T64" s="5"/>
      <c r="U64" s="5"/>
      <c r="V64" s="5"/>
      <c r="W64" s="7"/>
      <c r="X64" s="7"/>
      <c r="Y64" s="7"/>
      <c r="Z64" s="7"/>
      <c r="AA64" s="7"/>
      <c r="AB64" s="17"/>
      <c r="AC64" s="5"/>
      <c r="AD64" s="5"/>
      <c r="AE64" s="5"/>
      <c r="AF64" s="7"/>
      <c r="AG64" s="7"/>
      <c r="AH64" s="7"/>
      <c r="AI64" s="7"/>
      <c r="AK64" s="17"/>
      <c r="AL64" s="5"/>
      <c r="AM64" s="5"/>
      <c r="AN64" s="5"/>
      <c r="AO64" s="7"/>
      <c r="AP64" s="7"/>
      <c r="AQ64" s="7"/>
      <c r="AR64" s="7"/>
    </row>
    <row r="65" spans="1:44" ht="14">
      <c r="A65" s="2"/>
      <c r="B65" s="14">
        <v>4.5</v>
      </c>
      <c r="C65" s="7"/>
      <c r="D65" s="10"/>
      <c r="E65" s="7"/>
      <c r="F65" s="7"/>
      <c r="G65" s="7"/>
      <c r="H65" s="7"/>
      <c r="J65" s="17"/>
      <c r="K65" s="5"/>
      <c r="L65" s="5"/>
      <c r="M65" s="5"/>
      <c r="N65" s="7"/>
      <c r="O65" s="7"/>
      <c r="P65" s="7"/>
      <c r="Q65" s="7"/>
      <c r="S65" s="17"/>
      <c r="T65" s="5"/>
      <c r="U65" s="5"/>
      <c r="V65" s="5"/>
      <c r="W65" s="7"/>
      <c r="X65" s="7"/>
      <c r="Y65" s="7"/>
      <c r="Z65" s="7"/>
      <c r="AA65" s="7"/>
      <c r="AB65" s="17"/>
      <c r="AC65" s="5"/>
      <c r="AD65" s="5"/>
      <c r="AE65" s="5"/>
      <c r="AF65" s="7"/>
      <c r="AG65" s="7"/>
      <c r="AH65" s="7"/>
      <c r="AI65" s="7"/>
      <c r="AK65" s="17"/>
      <c r="AL65" s="5"/>
      <c r="AM65" s="5"/>
      <c r="AN65" s="5"/>
      <c r="AO65" s="7"/>
      <c r="AP65" s="7"/>
      <c r="AQ65" s="7"/>
      <c r="AR65" s="7"/>
    </row>
    <row r="66" spans="1:44" ht="14">
      <c r="A66" s="2"/>
      <c r="B66" s="14">
        <v>6</v>
      </c>
      <c r="C66" s="7"/>
      <c r="D66" s="10"/>
      <c r="E66" s="7"/>
      <c r="F66" s="7"/>
      <c r="G66" s="7"/>
      <c r="H66" s="7"/>
      <c r="J66" s="17"/>
      <c r="K66" s="5"/>
      <c r="L66" s="5"/>
      <c r="M66" s="5"/>
      <c r="N66" s="7"/>
      <c r="O66" s="7"/>
      <c r="P66" s="7"/>
      <c r="Q66" s="7"/>
      <c r="S66" s="17"/>
      <c r="T66" s="5"/>
      <c r="U66" s="5"/>
      <c r="V66" s="5"/>
      <c r="W66" s="7"/>
      <c r="X66" s="7"/>
      <c r="Y66" s="7"/>
      <c r="Z66" s="7"/>
      <c r="AA66" s="7"/>
      <c r="AB66" s="17"/>
      <c r="AC66" s="5"/>
      <c r="AD66" s="5"/>
      <c r="AE66" s="5"/>
      <c r="AF66" s="7"/>
      <c r="AG66" s="7"/>
      <c r="AH66" s="7"/>
      <c r="AI66" s="7"/>
      <c r="AK66" s="17"/>
      <c r="AL66" s="5"/>
      <c r="AM66" s="5"/>
      <c r="AN66" s="5"/>
      <c r="AO66" s="7"/>
      <c r="AP66" s="7"/>
      <c r="AQ66" s="7"/>
      <c r="AR66" s="7"/>
    </row>
    <row r="67" spans="1:44" ht="14">
      <c r="A67" s="2"/>
      <c r="B67" s="14">
        <v>4</v>
      </c>
      <c r="C67" s="7"/>
      <c r="D67" s="10"/>
      <c r="E67" s="7"/>
      <c r="F67" s="7"/>
      <c r="G67" s="7"/>
      <c r="H67" s="7"/>
      <c r="J67" s="17"/>
      <c r="K67" s="5"/>
      <c r="L67" s="5"/>
      <c r="M67" s="5"/>
      <c r="N67" s="7"/>
      <c r="O67" s="7"/>
      <c r="P67" s="7"/>
      <c r="Q67" s="7"/>
      <c r="S67" s="17"/>
      <c r="T67" s="5"/>
      <c r="U67" s="5"/>
      <c r="V67" s="5"/>
      <c r="W67" s="7"/>
      <c r="X67" s="7"/>
      <c r="Y67" s="7"/>
      <c r="Z67" s="7"/>
      <c r="AA67" s="7"/>
      <c r="AB67" s="17"/>
      <c r="AC67" s="5"/>
      <c r="AD67" s="5"/>
      <c r="AE67" s="5"/>
      <c r="AF67" s="7"/>
      <c r="AG67" s="7"/>
      <c r="AH67" s="7"/>
      <c r="AI67" s="7"/>
      <c r="AK67" s="17"/>
      <c r="AL67" s="5"/>
      <c r="AM67" s="5"/>
      <c r="AN67" s="5"/>
      <c r="AO67" s="7"/>
      <c r="AP67" s="7"/>
      <c r="AQ67" s="7"/>
      <c r="AR67" s="7"/>
    </row>
    <row r="68" spans="1:44" ht="14">
      <c r="A68" s="2"/>
      <c r="B68" s="14">
        <v>3.5</v>
      </c>
      <c r="C68" s="7"/>
      <c r="D68" s="10"/>
      <c r="E68" s="7"/>
      <c r="F68" s="7"/>
      <c r="G68" s="7"/>
      <c r="H68" s="7"/>
      <c r="J68" s="17"/>
      <c r="K68" s="5"/>
      <c r="L68" s="5"/>
      <c r="M68" s="5"/>
      <c r="N68" s="7"/>
      <c r="O68" s="7"/>
      <c r="P68" s="7"/>
      <c r="Q68" s="7"/>
      <c r="S68" s="17"/>
      <c r="T68" s="5"/>
      <c r="U68" s="5"/>
      <c r="V68" s="5"/>
      <c r="W68" s="7"/>
      <c r="X68" s="7"/>
      <c r="Y68" s="7"/>
      <c r="Z68" s="7"/>
      <c r="AA68" s="7"/>
      <c r="AB68" s="17"/>
      <c r="AC68" s="5"/>
      <c r="AD68" s="5"/>
      <c r="AE68" s="5"/>
      <c r="AF68" s="7"/>
      <c r="AG68" s="7"/>
      <c r="AH68" s="7"/>
      <c r="AI68" s="7"/>
      <c r="AK68" s="17"/>
      <c r="AL68" s="5"/>
      <c r="AM68" s="5"/>
      <c r="AN68" s="5"/>
      <c r="AO68" s="7"/>
      <c r="AP68" s="7"/>
      <c r="AQ68" s="7"/>
      <c r="AR68" s="7"/>
    </row>
    <row r="69" spans="1:44" ht="14">
      <c r="A69" s="2"/>
      <c r="B69" s="14">
        <v>4</v>
      </c>
      <c r="C69" s="7"/>
      <c r="D69" s="10"/>
      <c r="E69" s="7"/>
      <c r="F69" s="7"/>
      <c r="G69" s="7"/>
      <c r="H69" s="7"/>
      <c r="J69" s="17"/>
      <c r="K69" s="5"/>
      <c r="L69" s="5"/>
      <c r="M69" s="5"/>
      <c r="N69" s="7"/>
      <c r="O69" s="7"/>
      <c r="P69" s="7"/>
      <c r="Q69" s="7"/>
      <c r="S69" s="17"/>
      <c r="T69" s="5"/>
      <c r="U69" s="5"/>
      <c r="V69" s="5"/>
      <c r="W69" s="7"/>
      <c r="X69" s="7"/>
      <c r="Y69" s="7"/>
      <c r="Z69" s="7"/>
      <c r="AA69" s="7"/>
      <c r="AB69" s="17"/>
      <c r="AC69" s="5"/>
      <c r="AD69" s="5"/>
      <c r="AE69" s="5"/>
      <c r="AF69" s="7"/>
      <c r="AG69" s="7"/>
      <c r="AH69" s="7"/>
      <c r="AI69" s="7"/>
      <c r="AK69" s="17"/>
      <c r="AL69" s="5"/>
      <c r="AM69" s="5"/>
      <c r="AN69" s="5"/>
      <c r="AO69" s="7"/>
      <c r="AP69" s="7"/>
      <c r="AQ69" s="7"/>
      <c r="AR69" s="7"/>
    </row>
    <row r="70" spans="1:44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  <c r="J70" s="17"/>
      <c r="K70" s="5"/>
      <c r="L70" s="5"/>
      <c r="M70" s="5"/>
      <c r="N70" s="7"/>
      <c r="O70" s="7"/>
      <c r="P70" s="7"/>
      <c r="Q70" s="7"/>
      <c r="S70" s="17"/>
      <c r="T70" s="5"/>
      <c r="U70" s="5"/>
      <c r="V70" s="5"/>
      <c r="W70" s="7"/>
      <c r="X70" s="7"/>
      <c r="Y70" s="7"/>
      <c r="Z70" s="7"/>
      <c r="AA70" s="7"/>
      <c r="AB70" s="17"/>
      <c r="AC70" s="5"/>
      <c r="AD70" s="5"/>
      <c r="AE70" s="5"/>
      <c r="AF70" s="7"/>
      <c r="AG70" s="7"/>
      <c r="AH70" s="7"/>
      <c r="AI70" s="7"/>
      <c r="AK70" s="17"/>
      <c r="AL70" s="5"/>
      <c r="AM70" s="5"/>
      <c r="AN70" s="5"/>
      <c r="AO70" s="7"/>
      <c r="AP70" s="7"/>
      <c r="AQ70" s="7"/>
      <c r="AR70" s="7"/>
    </row>
    <row r="71" spans="1:44" ht="14">
      <c r="A71" s="2"/>
      <c r="B71" s="7"/>
      <c r="C71" s="7"/>
      <c r="D71" s="10"/>
      <c r="E71" s="7"/>
      <c r="F71" s="7"/>
      <c r="G71" s="7"/>
      <c r="H71" s="7"/>
      <c r="J71" s="17"/>
      <c r="K71" s="5"/>
      <c r="L71" s="5"/>
      <c r="M71" s="5"/>
      <c r="N71" s="7"/>
      <c r="O71" s="7"/>
      <c r="P71" s="7"/>
      <c r="Q71" s="7"/>
      <c r="S71" s="17"/>
      <c r="T71" s="5"/>
      <c r="U71" s="5"/>
      <c r="V71" s="5"/>
      <c r="W71" s="7"/>
      <c r="X71" s="7"/>
      <c r="Y71" s="7"/>
      <c r="Z71" s="7"/>
      <c r="AA71" s="7"/>
      <c r="AB71" s="17"/>
      <c r="AC71" s="5"/>
      <c r="AD71" s="5"/>
      <c r="AE71" s="5"/>
      <c r="AF71" s="7"/>
      <c r="AG71" s="7"/>
      <c r="AH71" s="7"/>
      <c r="AI71" s="7"/>
      <c r="AK71" s="17"/>
      <c r="AL71" s="5"/>
      <c r="AM71" s="5"/>
      <c r="AN71" s="5"/>
      <c r="AO71" s="7"/>
      <c r="AP71" s="7"/>
      <c r="AQ71" s="7"/>
      <c r="AR71" s="7"/>
    </row>
    <row r="72" spans="1:44" ht="14">
      <c r="A72" s="17"/>
      <c r="B72" s="5"/>
      <c r="C72" s="5"/>
      <c r="D72" s="5"/>
      <c r="E72" s="7"/>
      <c r="F72" s="7"/>
      <c r="G72" s="7"/>
      <c r="H72" s="7"/>
      <c r="J72" s="17"/>
      <c r="K72" s="5"/>
      <c r="L72" s="5"/>
      <c r="M72" s="5"/>
      <c r="N72" s="7"/>
      <c r="O72" s="7"/>
      <c r="P72" s="7"/>
      <c r="Q72" s="7"/>
      <c r="S72" s="17"/>
      <c r="T72" s="5"/>
      <c r="U72" s="5"/>
      <c r="V72" s="5"/>
      <c r="W72" s="7"/>
      <c r="X72" s="7"/>
      <c r="Y72" s="7"/>
      <c r="Z72" s="7"/>
      <c r="AA72" s="7"/>
      <c r="AB72" s="17"/>
      <c r="AC72" s="5"/>
      <c r="AD72" s="5"/>
      <c r="AE72" s="5"/>
      <c r="AF72" s="7"/>
      <c r="AG72" s="7"/>
      <c r="AH72" s="7"/>
      <c r="AI72" s="7"/>
      <c r="AK72" s="17"/>
      <c r="AL72" s="5"/>
      <c r="AM72" s="5"/>
      <c r="AN72" s="5"/>
      <c r="AO72" s="7"/>
      <c r="AP72" s="7"/>
      <c r="AQ72" s="7"/>
      <c r="AR72" s="7"/>
    </row>
    <row r="73" spans="1:44" ht="14">
      <c r="A73" s="17"/>
      <c r="B73" s="5"/>
      <c r="C73" s="5"/>
      <c r="D73" s="5"/>
      <c r="E73" s="7"/>
      <c r="F73" s="7"/>
      <c r="G73" s="7"/>
      <c r="H73" s="7"/>
      <c r="J73" s="17"/>
      <c r="K73" s="5"/>
      <c r="L73" s="5"/>
      <c r="M73" s="5"/>
      <c r="N73" s="7"/>
      <c r="O73" s="7"/>
      <c r="P73" s="7"/>
      <c r="Q73" s="7"/>
      <c r="S73" s="17"/>
      <c r="T73" s="5"/>
      <c r="U73" s="5"/>
      <c r="V73" s="5"/>
      <c r="W73" s="7"/>
      <c r="X73" s="7"/>
      <c r="Y73" s="7"/>
      <c r="Z73" s="7"/>
      <c r="AA73" s="7"/>
      <c r="AB73" s="17"/>
      <c r="AC73" s="5"/>
      <c r="AD73" s="5"/>
      <c r="AE73" s="5"/>
      <c r="AF73" s="7"/>
      <c r="AG73" s="7"/>
      <c r="AH73" s="7"/>
      <c r="AI73" s="7"/>
      <c r="AK73" s="17"/>
      <c r="AL73" s="5"/>
      <c r="AM73" s="5"/>
      <c r="AN73" s="5"/>
      <c r="AO73" s="7"/>
      <c r="AP73" s="7"/>
      <c r="AQ73" s="7"/>
      <c r="AR73" s="7"/>
    </row>
    <row r="74" spans="1:44" ht="14">
      <c r="A74" s="17"/>
      <c r="B74" s="5"/>
      <c r="C74" s="5"/>
      <c r="D74" s="5"/>
      <c r="E74" s="7"/>
      <c r="F74" s="7"/>
      <c r="G74" s="7"/>
      <c r="H74" s="7"/>
      <c r="J74" s="17"/>
      <c r="K74" s="5"/>
      <c r="L74" s="5"/>
      <c r="M74" s="5"/>
      <c r="N74" s="7"/>
      <c r="O74" s="7"/>
      <c r="P74" s="7"/>
      <c r="Q74" s="7"/>
      <c r="S74" s="17"/>
      <c r="T74" s="5"/>
      <c r="U74" s="5"/>
      <c r="V74" s="5"/>
      <c r="W74" s="7"/>
      <c r="X74" s="7"/>
      <c r="Y74" s="7"/>
      <c r="Z74" s="7"/>
      <c r="AA74" s="7"/>
      <c r="AB74" s="17"/>
      <c r="AC74" s="5"/>
      <c r="AD74" s="5"/>
      <c r="AE74" s="5"/>
      <c r="AF74" s="7"/>
      <c r="AG74" s="7"/>
      <c r="AH74" s="7"/>
      <c r="AI74" s="7"/>
      <c r="AK74" s="17"/>
      <c r="AL74" s="5"/>
      <c r="AM74" s="5"/>
      <c r="AN74" s="5"/>
      <c r="AO74" s="7"/>
      <c r="AP74" s="7"/>
      <c r="AQ74" s="7"/>
      <c r="AR74" s="7"/>
    </row>
    <row r="75" spans="1:44" ht="14">
      <c r="A75" s="17"/>
      <c r="B75" s="5"/>
      <c r="C75" s="5"/>
      <c r="D75" s="5"/>
      <c r="E75" s="7"/>
      <c r="F75" s="7"/>
      <c r="G75" s="7"/>
      <c r="H75" s="7"/>
      <c r="J75" s="17"/>
      <c r="K75" s="5"/>
      <c r="L75" s="5"/>
      <c r="M75" s="5"/>
      <c r="N75" s="7"/>
      <c r="O75" s="7"/>
      <c r="P75" s="7"/>
      <c r="Q75" s="7"/>
      <c r="S75" s="17"/>
      <c r="T75" s="5"/>
      <c r="U75" s="5"/>
      <c r="V75" s="5"/>
      <c r="W75" s="7"/>
      <c r="X75" s="7"/>
      <c r="Y75" s="7"/>
      <c r="Z75" s="7"/>
      <c r="AA75" s="7"/>
      <c r="AB75" s="17"/>
      <c r="AC75" s="5"/>
      <c r="AD75" s="5"/>
      <c r="AE75" s="5"/>
      <c r="AF75" s="7"/>
      <c r="AG75" s="7"/>
      <c r="AH75" s="7"/>
      <c r="AI75" s="7"/>
      <c r="AK75" s="17"/>
      <c r="AL75" s="5"/>
      <c r="AM75" s="5"/>
      <c r="AN75" s="5"/>
      <c r="AO75" s="7"/>
      <c r="AP75" s="7"/>
      <c r="AQ75" s="7"/>
      <c r="AR75" s="7"/>
    </row>
    <row r="76" spans="1:44" ht="14">
      <c r="A76" s="5"/>
      <c r="B76" s="5"/>
      <c r="C76" s="5"/>
      <c r="D76" s="5"/>
      <c r="E76" s="7"/>
      <c r="F76" s="7"/>
      <c r="G76" s="7"/>
      <c r="H76" s="7"/>
      <c r="J76" s="5"/>
      <c r="K76" s="5"/>
      <c r="L76" s="5"/>
      <c r="M76" s="5"/>
      <c r="N76" s="7"/>
      <c r="O76" s="7"/>
      <c r="P76" s="7"/>
      <c r="Q76" s="7"/>
      <c r="S76" s="5"/>
      <c r="T76" s="5"/>
      <c r="U76" s="5"/>
      <c r="V76" s="5"/>
      <c r="W76" s="7"/>
      <c r="X76" s="7"/>
      <c r="Y76" s="7"/>
      <c r="Z76" s="7"/>
      <c r="AA76" s="7"/>
      <c r="AB76" s="5"/>
      <c r="AC76" s="5"/>
      <c r="AD76" s="5"/>
      <c r="AE76" s="5"/>
      <c r="AF76" s="7"/>
      <c r="AG76" s="7"/>
      <c r="AH76" s="7"/>
      <c r="AI76" s="7"/>
      <c r="AK76" s="5"/>
      <c r="AL76" s="5"/>
      <c r="AM76" s="5"/>
      <c r="AN76" s="5"/>
      <c r="AO76" s="7"/>
      <c r="AP76" s="7"/>
      <c r="AQ76" s="7"/>
      <c r="AR76" s="7"/>
    </row>
    <row r="77" spans="1:44" ht="14">
      <c r="A77" s="5"/>
      <c r="B77" s="5"/>
      <c r="C77" s="5"/>
      <c r="D77" s="5"/>
      <c r="E77" s="7"/>
      <c r="F77" s="7"/>
      <c r="G77" s="7"/>
      <c r="H77" s="7"/>
      <c r="J77" s="5"/>
      <c r="K77" s="5"/>
      <c r="L77" s="5"/>
      <c r="M77" s="5"/>
      <c r="N77" s="7"/>
      <c r="O77" s="7"/>
      <c r="P77" s="7"/>
      <c r="Q77" s="7"/>
      <c r="S77" s="5"/>
      <c r="T77" s="5"/>
      <c r="U77" s="5"/>
      <c r="V77" s="5"/>
      <c r="W77" s="7"/>
      <c r="X77" s="7"/>
      <c r="Y77" s="7"/>
      <c r="Z77" s="7"/>
      <c r="AA77" s="7"/>
      <c r="AB77" s="5"/>
      <c r="AC77" s="5"/>
      <c r="AD77" s="5"/>
      <c r="AE77" s="5"/>
      <c r="AF77" s="7"/>
      <c r="AG77" s="7"/>
      <c r="AH77" s="7"/>
      <c r="AI77" s="7"/>
      <c r="AK77" s="5"/>
      <c r="AL77" s="5"/>
      <c r="AM77" s="5"/>
      <c r="AN77" s="5"/>
      <c r="AO77" s="7"/>
      <c r="AP77" s="7"/>
      <c r="AQ77" s="7"/>
      <c r="AR77" s="7"/>
    </row>
    <row r="78" spans="1:44" ht="14">
      <c r="A78" s="5"/>
      <c r="B78" s="5"/>
      <c r="C78" s="5"/>
      <c r="D78" s="5"/>
      <c r="E78" s="7"/>
      <c r="F78" s="7"/>
      <c r="G78" s="7"/>
      <c r="H78" s="7"/>
      <c r="J78" s="5"/>
      <c r="K78" s="5"/>
      <c r="L78" s="5"/>
      <c r="M78" s="5"/>
      <c r="N78" s="7"/>
      <c r="O78" s="7"/>
      <c r="P78" s="7"/>
      <c r="Q78" s="7"/>
      <c r="S78" s="5"/>
      <c r="T78" s="5"/>
      <c r="U78" s="5"/>
      <c r="V78" s="5"/>
      <c r="W78" s="7"/>
      <c r="X78" s="7"/>
      <c r="Y78" s="7"/>
      <c r="Z78" s="7"/>
      <c r="AA78" s="7"/>
      <c r="AB78" s="5"/>
      <c r="AC78" s="5"/>
      <c r="AD78" s="5"/>
      <c r="AE78" s="5"/>
      <c r="AF78" s="7"/>
      <c r="AG78" s="7"/>
      <c r="AH78" s="7"/>
      <c r="AI78" s="7"/>
      <c r="AK78" s="5"/>
      <c r="AL78" s="5"/>
      <c r="AM78" s="5"/>
      <c r="AN78" s="5"/>
      <c r="AO78" s="7"/>
      <c r="AP78" s="7"/>
      <c r="AQ78" s="7"/>
      <c r="AR78" s="7"/>
    </row>
    <row r="79" spans="1:44" ht="14">
      <c r="A79" s="7"/>
      <c r="B79" s="7"/>
      <c r="C79" s="7"/>
      <c r="D79" s="7"/>
      <c r="E79" s="7"/>
      <c r="F79" s="7"/>
      <c r="G79" s="7"/>
      <c r="H79" s="7"/>
      <c r="J79" s="7"/>
      <c r="K79" s="7"/>
      <c r="L79" s="7"/>
      <c r="M79" s="7"/>
      <c r="N79" s="7"/>
      <c r="O79" s="7"/>
      <c r="P79" s="7"/>
      <c r="Q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K79" s="7"/>
      <c r="AL79" s="7"/>
      <c r="AM79" s="7"/>
      <c r="AN79" s="7"/>
      <c r="AO79" s="7"/>
      <c r="AP79" s="7"/>
      <c r="AQ79" s="7"/>
      <c r="AR79" s="7"/>
    </row>
    <row r="80" spans="1:44" ht="14">
      <c r="A80" s="7"/>
      <c r="B80" s="7"/>
      <c r="C80" s="7"/>
      <c r="D80" s="27"/>
      <c r="E80" s="24"/>
      <c r="F80" s="7"/>
      <c r="G80" s="7"/>
      <c r="H80" s="7"/>
      <c r="J80" s="7"/>
      <c r="K80" s="7"/>
      <c r="L80" s="7"/>
      <c r="M80" s="27"/>
      <c r="N80" s="24"/>
      <c r="O80" s="7"/>
      <c r="P80" s="7"/>
      <c r="Q80" s="7"/>
      <c r="S80" s="7"/>
      <c r="T80" s="7"/>
      <c r="U80" s="7"/>
      <c r="V80" s="27"/>
      <c r="W80" s="24"/>
      <c r="X80" s="7"/>
      <c r="Y80" s="7"/>
      <c r="Z80" s="7"/>
      <c r="AA80" s="7"/>
      <c r="AB80" s="7"/>
      <c r="AC80" s="7"/>
      <c r="AD80" s="7"/>
      <c r="AE80" s="27"/>
      <c r="AF80" s="24"/>
      <c r="AG80" s="7"/>
      <c r="AH80" s="7"/>
      <c r="AI80" s="7"/>
      <c r="AK80" s="7"/>
      <c r="AL80" s="7"/>
      <c r="AM80" s="7"/>
      <c r="AN80" s="27"/>
      <c r="AO80" s="24"/>
      <c r="AP80" s="7"/>
      <c r="AQ80" s="7"/>
      <c r="AR80" s="7"/>
    </row>
    <row r="81" spans="1:44" ht="14">
      <c r="A81" s="7"/>
      <c r="B81" s="7"/>
      <c r="C81" s="7"/>
      <c r="D81" s="7"/>
      <c r="E81" s="7"/>
      <c r="F81" s="7"/>
      <c r="G81" s="7"/>
      <c r="H81" s="7"/>
      <c r="J81" s="7"/>
      <c r="K81" s="7"/>
      <c r="L81" s="7"/>
      <c r="M81" s="7"/>
      <c r="N81" s="7"/>
      <c r="O81" s="7"/>
      <c r="P81" s="7"/>
      <c r="Q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K81" s="7"/>
      <c r="AL81" s="7"/>
      <c r="AM81" s="7"/>
      <c r="AN81" s="7"/>
      <c r="AO81" s="7"/>
      <c r="AP81" s="7"/>
      <c r="AQ81" s="7"/>
      <c r="AR81" s="7"/>
    </row>
    <row r="82" spans="1:44" ht="14">
      <c r="A82" s="7"/>
      <c r="B82" s="7"/>
      <c r="C82" s="7"/>
      <c r="D82" s="7"/>
      <c r="E82" s="7"/>
      <c r="F82" s="7"/>
      <c r="G82" s="7"/>
      <c r="H82" s="7"/>
      <c r="J82" s="7"/>
      <c r="K82" s="7"/>
      <c r="L82" s="7"/>
      <c r="M82" s="7"/>
      <c r="N82" s="7"/>
      <c r="O82" s="7"/>
      <c r="P82" s="7"/>
      <c r="Q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K82" s="7"/>
      <c r="AL82" s="7"/>
      <c r="AM82" s="7"/>
      <c r="AN82" s="7"/>
      <c r="AO82" s="7"/>
      <c r="AP82" s="7"/>
      <c r="AQ82" s="7"/>
      <c r="AR82" s="7"/>
    </row>
    <row r="83" spans="1:44" ht="14">
      <c r="A83" s="7"/>
      <c r="B83" s="7"/>
      <c r="C83" s="7"/>
      <c r="D83" s="7"/>
      <c r="E83" s="7"/>
      <c r="F83" s="7"/>
      <c r="G83" s="7"/>
      <c r="H83" s="7"/>
      <c r="J83" s="7"/>
      <c r="K83" s="7"/>
      <c r="L83" s="7"/>
      <c r="M83" s="7"/>
      <c r="N83" s="7"/>
      <c r="O83" s="7"/>
      <c r="P83" s="7"/>
      <c r="Q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K83" s="7"/>
      <c r="AL83" s="7"/>
      <c r="AM83" s="7"/>
      <c r="AN83" s="7"/>
      <c r="AO83" s="7"/>
      <c r="AP83" s="7"/>
      <c r="AQ83" s="7"/>
      <c r="AR83" s="7"/>
    </row>
  </sheetData>
  <mergeCells count="54">
    <mergeCell ref="X53:Y53"/>
    <mergeCell ref="AP53:AQ53"/>
    <mergeCell ref="O55:P55"/>
    <mergeCell ref="O56:P56"/>
    <mergeCell ref="F42:G42"/>
    <mergeCell ref="F52:G52"/>
    <mergeCell ref="O52:P52"/>
    <mergeCell ref="X52:Y52"/>
    <mergeCell ref="AP52:AQ52"/>
    <mergeCell ref="X54:Y54"/>
    <mergeCell ref="F55:G55"/>
    <mergeCell ref="X55:Y55"/>
    <mergeCell ref="O58:P58"/>
    <mergeCell ref="X58:Y58"/>
    <mergeCell ref="AE80:AF80"/>
    <mergeCell ref="F58:G58"/>
    <mergeCell ref="F59:G59"/>
    <mergeCell ref="F60:G60"/>
    <mergeCell ref="F56:G56"/>
    <mergeCell ref="X56:Y56"/>
    <mergeCell ref="O59:P59"/>
    <mergeCell ref="X59:Y59"/>
    <mergeCell ref="O60:P60"/>
    <mergeCell ref="X60:Y60"/>
    <mergeCell ref="D62:E62"/>
    <mergeCell ref="D80:E80"/>
    <mergeCell ref="M80:N80"/>
    <mergeCell ref="V80:W80"/>
    <mergeCell ref="F35:G35"/>
    <mergeCell ref="F36:G36"/>
    <mergeCell ref="F37:G37"/>
    <mergeCell ref="F38:G38"/>
    <mergeCell ref="F39:G39"/>
    <mergeCell ref="F40:G40"/>
    <mergeCell ref="F41:G41"/>
    <mergeCell ref="F53:G53"/>
    <mergeCell ref="F54:G54"/>
    <mergeCell ref="O54:P54"/>
    <mergeCell ref="O53:P53"/>
    <mergeCell ref="AP58:AQ58"/>
    <mergeCell ref="AP59:AQ59"/>
    <mergeCell ref="AP60:AQ60"/>
    <mergeCell ref="AN80:AO80"/>
    <mergeCell ref="AG52:AH52"/>
    <mergeCell ref="AG53:AH53"/>
    <mergeCell ref="AG54:AH54"/>
    <mergeCell ref="AP54:AQ54"/>
    <mergeCell ref="AG55:AH55"/>
    <mergeCell ref="AP55:AQ55"/>
    <mergeCell ref="AP56:AQ56"/>
    <mergeCell ref="AG60:AH60"/>
    <mergeCell ref="AG56:AH56"/>
    <mergeCell ref="AG58:AH58"/>
    <mergeCell ref="AG59:AH59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AR83"/>
  <sheetViews>
    <sheetView workbookViewId="0"/>
  </sheetViews>
  <sheetFormatPr baseColWidth="10" defaultColWidth="12.6640625" defaultRowHeight="15.75" customHeight="1"/>
  <cols>
    <col min="1" max="1" width="15.1640625" customWidth="1"/>
  </cols>
  <sheetData>
    <row r="1" spans="1:44" ht="15.75" customHeight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J1" s="20" t="s">
        <v>306</v>
      </c>
      <c r="K1" s="7"/>
      <c r="L1" s="7"/>
      <c r="M1" s="7"/>
      <c r="N1" s="7"/>
      <c r="O1" s="7"/>
      <c r="P1" s="7"/>
      <c r="Q1" s="7"/>
      <c r="S1" s="20"/>
      <c r="T1" s="7"/>
      <c r="U1" s="7"/>
      <c r="V1" s="7"/>
      <c r="W1" s="7"/>
      <c r="X1" s="7"/>
      <c r="Y1" s="7"/>
      <c r="Z1" s="7"/>
      <c r="AA1" s="7"/>
      <c r="AB1" s="20"/>
      <c r="AC1" s="7"/>
      <c r="AD1" s="7"/>
      <c r="AE1" s="7"/>
      <c r="AF1" s="7"/>
      <c r="AG1" s="7"/>
      <c r="AH1" s="7"/>
      <c r="AI1" s="7"/>
      <c r="AK1" s="20"/>
      <c r="AL1" s="7"/>
      <c r="AM1" s="7"/>
      <c r="AN1" s="7"/>
      <c r="AO1" s="7"/>
      <c r="AP1" s="7"/>
      <c r="AQ1" s="7"/>
      <c r="AR1" s="7"/>
    </row>
    <row r="2" spans="1:44" ht="15.75" customHeight="1">
      <c r="A2" s="4">
        <v>1</v>
      </c>
      <c r="B2" s="17">
        <v>11</v>
      </c>
      <c r="C2" s="17">
        <v>11</v>
      </c>
      <c r="D2" s="6">
        <f t="shared" ref="D2:D26" si="0">B2/C2</f>
        <v>1</v>
      </c>
      <c r="E2" s="7"/>
      <c r="F2" s="7"/>
      <c r="G2" s="14" t="s">
        <v>35</v>
      </c>
      <c r="H2" s="7"/>
      <c r="J2" s="14" t="s">
        <v>307</v>
      </c>
      <c r="K2" s="7"/>
      <c r="L2" s="7"/>
      <c r="M2" s="7"/>
      <c r="N2" s="7"/>
      <c r="O2" s="7"/>
      <c r="P2" s="7"/>
      <c r="Q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K2" s="7"/>
      <c r="AL2" s="7"/>
      <c r="AM2" s="7"/>
      <c r="AN2" s="7"/>
      <c r="AO2" s="7"/>
      <c r="AP2" s="7"/>
      <c r="AQ2" s="7"/>
      <c r="AR2" s="7"/>
    </row>
    <row r="3" spans="1:44" ht="15.75" customHeight="1">
      <c r="A3" s="4">
        <v>2</v>
      </c>
      <c r="B3" s="17">
        <v>11.5</v>
      </c>
      <c r="C3" s="17">
        <v>10</v>
      </c>
      <c r="D3" s="6">
        <f t="shared" si="0"/>
        <v>1.1499999999999999</v>
      </c>
      <c r="E3" s="7"/>
      <c r="F3" s="7"/>
      <c r="G3" s="7"/>
      <c r="H3" s="7"/>
      <c r="J3" s="5"/>
      <c r="K3" s="5"/>
      <c r="L3" s="5"/>
      <c r="M3" s="5"/>
      <c r="N3" s="7"/>
      <c r="O3" s="7"/>
      <c r="P3" s="7"/>
      <c r="Q3" s="7"/>
      <c r="S3" s="5"/>
      <c r="T3" s="5"/>
      <c r="U3" s="5"/>
      <c r="V3" s="5"/>
      <c r="W3" s="7"/>
      <c r="X3" s="7"/>
      <c r="Y3" s="7"/>
      <c r="Z3" s="7"/>
      <c r="AA3" s="7"/>
      <c r="AB3" s="5"/>
      <c r="AC3" s="5"/>
      <c r="AD3" s="5"/>
      <c r="AE3" s="5"/>
      <c r="AF3" s="7"/>
      <c r="AG3" s="7"/>
      <c r="AH3" s="7"/>
      <c r="AI3" s="7"/>
      <c r="AK3" s="5"/>
      <c r="AL3" s="5"/>
      <c r="AM3" s="5"/>
      <c r="AN3" s="5"/>
      <c r="AO3" s="7"/>
      <c r="AP3" s="7"/>
      <c r="AQ3" s="7"/>
      <c r="AR3" s="7"/>
    </row>
    <row r="4" spans="1:44" ht="15.75" customHeight="1">
      <c r="A4" s="4">
        <v>3</v>
      </c>
      <c r="B4" s="17">
        <v>10</v>
      </c>
      <c r="C4" s="17">
        <v>10.5</v>
      </c>
      <c r="D4" s="6">
        <f t="shared" si="0"/>
        <v>0.95238095238095233</v>
      </c>
      <c r="E4" s="7"/>
      <c r="F4" s="7"/>
      <c r="G4" s="7"/>
      <c r="H4" s="7"/>
      <c r="J4" s="5"/>
      <c r="K4" s="5"/>
      <c r="L4" s="5"/>
      <c r="M4" s="5"/>
      <c r="N4" s="7"/>
      <c r="O4" s="7"/>
      <c r="P4" s="7"/>
      <c r="Q4" s="7"/>
      <c r="S4" s="5"/>
      <c r="T4" s="5"/>
      <c r="U4" s="5"/>
      <c r="V4" s="5"/>
      <c r="W4" s="7"/>
      <c r="X4" s="7"/>
      <c r="Y4" s="7"/>
      <c r="Z4" s="7"/>
      <c r="AA4" s="7"/>
      <c r="AB4" s="5"/>
      <c r="AC4" s="5"/>
      <c r="AD4" s="5"/>
      <c r="AE4" s="5"/>
      <c r="AF4" s="7"/>
      <c r="AG4" s="7"/>
      <c r="AH4" s="7"/>
      <c r="AI4" s="7"/>
      <c r="AK4" s="5"/>
      <c r="AL4" s="5"/>
      <c r="AM4" s="5"/>
      <c r="AN4" s="5"/>
      <c r="AO4" s="7"/>
      <c r="AP4" s="7"/>
      <c r="AQ4" s="7"/>
      <c r="AR4" s="7"/>
    </row>
    <row r="5" spans="1:44" ht="15.75" customHeight="1">
      <c r="A5" s="4">
        <v>4</v>
      </c>
      <c r="B5" s="17">
        <v>11</v>
      </c>
      <c r="C5" s="17">
        <v>11</v>
      </c>
      <c r="D5" s="6">
        <f t="shared" si="0"/>
        <v>1</v>
      </c>
      <c r="E5" s="7"/>
      <c r="F5" s="7"/>
      <c r="G5" s="7"/>
      <c r="H5" s="7"/>
      <c r="J5" s="5"/>
      <c r="K5" s="5"/>
      <c r="L5" s="5"/>
      <c r="M5" s="5"/>
      <c r="N5" s="7"/>
      <c r="O5" s="7"/>
      <c r="P5" s="7"/>
      <c r="Q5" s="7"/>
      <c r="S5" s="5"/>
      <c r="T5" s="5"/>
      <c r="U5" s="5"/>
      <c r="V5" s="5"/>
      <c r="W5" s="7"/>
      <c r="X5" s="7"/>
      <c r="Y5" s="7"/>
      <c r="Z5" s="7"/>
      <c r="AA5" s="7"/>
      <c r="AB5" s="5"/>
      <c r="AC5" s="5"/>
      <c r="AD5" s="5"/>
      <c r="AE5" s="5"/>
      <c r="AF5" s="7"/>
      <c r="AG5" s="7"/>
      <c r="AH5" s="7"/>
      <c r="AI5" s="7"/>
      <c r="AK5" s="5"/>
      <c r="AL5" s="5"/>
      <c r="AM5" s="5"/>
      <c r="AN5" s="5"/>
      <c r="AO5" s="7"/>
      <c r="AP5" s="7"/>
      <c r="AQ5" s="7"/>
      <c r="AR5" s="7"/>
    </row>
    <row r="6" spans="1:44" ht="15.75" customHeight="1">
      <c r="A6" s="4">
        <v>5</v>
      </c>
      <c r="B6" s="17">
        <v>12.5</v>
      </c>
      <c r="C6" s="17">
        <v>12.5</v>
      </c>
      <c r="D6" s="6">
        <f t="shared" si="0"/>
        <v>1</v>
      </c>
      <c r="E6" s="7"/>
      <c r="F6" s="7"/>
      <c r="G6" s="7"/>
      <c r="H6" s="7"/>
      <c r="J6" s="5"/>
      <c r="K6" s="5"/>
      <c r="L6" s="5"/>
      <c r="M6" s="5"/>
      <c r="N6" s="7"/>
      <c r="O6" s="7"/>
      <c r="P6" s="7"/>
      <c r="Q6" s="7"/>
      <c r="S6" s="5"/>
      <c r="T6" s="5"/>
      <c r="U6" s="5"/>
      <c r="V6" s="5"/>
      <c r="W6" s="7"/>
      <c r="X6" s="7"/>
      <c r="Y6" s="7"/>
      <c r="Z6" s="7"/>
      <c r="AA6" s="7"/>
      <c r="AB6" s="5"/>
      <c r="AC6" s="5"/>
      <c r="AD6" s="5"/>
      <c r="AE6" s="5"/>
      <c r="AF6" s="7"/>
      <c r="AG6" s="7"/>
      <c r="AH6" s="7"/>
      <c r="AI6" s="7"/>
      <c r="AK6" s="5"/>
      <c r="AL6" s="5"/>
      <c r="AM6" s="5"/>
      <c r="AN6" s="5"/>
      <c r="AO6" s="7"/>
      <c r="AP6" s="7"/>
      <c r="AQ6" s="7"/>
      <c r="AR6" s="7"/>
    </row>
    <row r="7" spans="1:44" ht="15.75" customHeight="1">
      <c r="A7" s="4">
        <v>6</v>
      </c>
      <c r="B7" s="17">
        <v>11</v>
      </c>
      <c r="C7" s="17">
        <v>11</v>
      </c>
      <c r="D7" s="6">
        <f t="shared" si="0"/>
        <v>1</v>
      </c>
      <c r="E7" s="7"/>
      <c r="F7" s="7"/>
      <c r="G7" s="7"/>
      <c r="H7" s="7"/>
      <c r="J7" s="5"/>
      <c r="K7" s="5"/>
      <c r="L7" s="5"/>
      <c r="M7" s="5"/>
      <c r="N7" s="7"/>
      <c r="O7" s="7"/>
      <c r="P7" s="7"/>
      <c r="Q7" s="7"/>
      <c r="S7" s="5"/>
      <c r="T7" s="5"/>
      <c r="U7" s="5"/>
      <c r="V7" s="5"/>
      <c r="W7" s="7"/>
      <c r="X7" s="7"/>
      <c r="Y7" s="7"/>
      <c r="Z7" s="7"/>
      <c r="AA7" s="7"/>
      <c r="AB7" s="5"/>
      <c r="AC7" s="5"/>
      <c r="AD7" s="5"/>
      <c r="AE7" s="5"/>
      <c r="AF7" s="7"/>
      <c r="AG7" s="7"/>
      <c r="AH7" s="7"/>
      <c r="AI7" s="7"/>
      <c r="AK7" s="5"/>
      <c r="AL7" s="5"/>
      <c r="AM7" s="5"/>
      <c r="AN7" s="5"/>
      <c r="AO7" s="7"/>
      <c r="AP7" s="7"/>
      <c r="AQ7" s="7"/>
      <c r="AR7" s="7"/>
    </row>
    <row r="8" spans="1:44" ht="15.75" customHeight="1">
      <c r="A8" s="4">
        <v>7</v>
      </c>
      <c r="B8" s="17">
        <v>11.5</v>
      </c>
      <c r="C8" s="17">
        <v>12</v>
      </c>
      <c r="D8" s="6">
        <f t="shared" si="0"/>
        <v>0.95833333333333337</v>
      </c>
      <c r="E8" s="7"/>
      <c r="F8" s="7"/>
      <c r="G8" s="7"/>
      <c r="H8" s="7"/>
      <c r="J8" s="5"/>
      <c r="K8" s="5"/>
      <c r="L8" s="5"/>
      <c r="M8" s="5"/>
      <c r="N8" s="7"/>
      <c r="O8" s="7"/>
      <c r="P8" s="7"/>
      <c r="Q8" s="7"/>
      <c r="S8" s="5"/>
      <c r="T8" s="5"/>
      <c r="U8" s="5"/>
      <c r="V8" s="5"/>
      <c r="W8" s="7"/>
      <c r="X8" s="7"/>
      <c r="Y8" s="7"/>
      <c r="Z8" s="7"/>
      <c r="AA8" s="7"/>
      <c r="AB8" s="5"/>
      <c r="AC8" s="5"/>
      <c r="AD8" s="5"/>
      <c r="AE8" s="5"/>
      <c r="AF8" s="7"/>
      <c r="AG8" s="7"/>
      <c r="AH8" s="7"/>
      <c r="AI8" s="7"/>
      <c r="AK8" s="5"/>
      <c r="AL8" s="5"/>
      <c r="AM8" s="5"/>
      <c r="AN8" s="5"/>
      <c r="AO8" s="7"/>
      <c r="AP8" s="7"/>
      <c r="AQ8" s="7"/>
      <c r="AR8" s="7"/>
    </row>
    <row r="9" spans="1:44" ht="15.75" customHeight="1">
      <c r="A9" s="4">
        <v>8</v>
      </c>
      <c r="B9" s="17">
        <v>12.5</v>
      </c>
      <c r="C9" s="17">
        <v>12</v>
      </c>
      <c r="D9" s="6">
        <f t="shared" si="0"/>
        <v>1.0416666666666667</v>
      </c>
      <c r="E9" s="7"/>
      <c r="F9" s="7"/>
      <c r="G9" s="7"/>
      <c r="H9" s="7"/>
      <c r="J9" s="5"/>
      <c r="K9" s="5"/>
      <c r="L9" s="5"/>
      <c r="M9" s="5"/>
      <c r="N9" s="7"/>
      <c r="O9" s="7"/>
      <c r="P9" s="7"/>
      <c r="Q9" s="7"/>
      <c r="S9" s="5"/>
      <c r="T9" s="5"/>
      <c r="U9" s="5"/>
      <c r="V9" s="5"/>
      <c r="W9" s="7"/>
      <c r="X9" s="7"/>
      <c r="Y9" s="7"/>
      <c r="Z9" s="7"/>
      <c r="AA9" s="21"/>
      <c r="AB9" s="5"/>
      <c r="AC9" s="5"/>
      <c r="AD9" s="5"/>
      <c r="AE9" s="5"/>
      <c r="AF9" s="7"/>
      <c r="AG9" s="7"/>
      <c r="AH9" s="7"/>
      <c r="AI9" s="7"/>
      <c r="AK9" s="5"/>
      <c r="AL9" s="5"/>
      <c r="AM9" s="5"/>
      <c r="AN9" s="5"/>
      <c r="AO9" s="7"/>
      <c r="AP9" s="7"/>
      <c r="AQ9" s="7"/>
      <c r="AR9" s="7"/>
    </row>
    <row r="10" spans="1:44" ht="15.75" customHeight="1">
      <c r="A10" s="4">
        <v>9</v>
      </c>
      <c r="B10" s="17">
        <v>11.5</v>
      </c>
      <c r="C10" s="17">
        <v>11.5</v>
      </c>
      <c r="D10" s="6">
        <f t="shared" si="0"/>
        <v>1</v>
      </c>
      <c r="E10" s="7"/>
      <c r="F10" s="7"/>
      <c r="G10" s="7"/>
      <c r="H10" s="7"/>
      <c r="J10" s="5"/>
      <c r="K10" s="5"/>
      <c r="L10" s="5"/>
      <c r="M10" s="5"/>
      <c r="N10" s="7"/>
      <c r="O10" s="7"/>
      <c r="P10" s="7"/>
      <c r="Q10" s="7"/>
      <c r="S10" s="5"/>
      <c r="T10" s="5"/>
      <c r="U10" s="5"/>
      <c r="V10" s="5"/>
      <c r="W10" s="7"/>
      <c r="X10" s="7"/>
      <c r="Y10" s="7"/>
      <c r="Z10" s="7"/>
      <c r="AA10" s="7"/>
      <c r="AB10" s="5"/>
      <c r="AC10" s="5"/>
      <c r="AD10" s="5"/>
      <c r="AE10" s="5"/>
      <c r="AF10" s="7"/>
      <c r="AG10" s="7"/>
      <c r="AH10" s="7"/>
      <c r="AI10" s="7"/>
      <c r="AK10" s="5"/>
      <c r="AL10" s="5"/>
      <c r="AM10" s="5"/>
      <c r="AN10" s="5"/>
      <c r="AO10" s="7"/>
      <c r="AP10" s="7"/>
      <c r="AQ10" s="7"/>
      <c r="AR10" s="7"/>
    </row>
    <row r="11" spans="1:44" ht="15.75" customHeight="1">
      <c r="A11" s="4">
        <v>10</v>
      </c>
      <c r="B11" s="17">
        <v>11</v>
      </c>
      <c r="C11" s="17">
        <v>11</v>
      </c>
      <c r="D11" s="6">
        <f t="shared" si="0"/>
        <v>1</v>
      </c>
      <c r="E11" s="7"/>
      <c r="F11" s="7"/>
      <c r="G11" s="7"/>
      <c r="H11" s="7"/>
      <c r="J11" s="5"/>
      <c r="K11" s="5"/>
      <c r="L11" s="5"/>
      <c r="M11" s="5"/>
      <c r="N11" s="7"/>
      <c r="O11" s="7"/>
      <c r="P11" s="7"/>
      <c r="Q11" s="7"/>
      <c r="S11" s="5"/>
      <c r="T11" s="5"/>
      <c r="U11" s="5"/>
      <c r="V11" s="5"/>
      <c r="W11" s="7"/>
      <c r="X11" s="7"/>
      <c r="Y11" s="7"/>
      <c r="Z11" s="7"/>
      <c r="AA11" s="7"/>
      <c r="AB11" s="5"/>
      <c r="AC11" s="5"/>
      <c r="AD11" s="5"/>
      <c r="AE11" s="5"/>
      <c r="AF11" s="7"/>
      <c r="AG11" s="7"/>
      <c r="AH11" s="7"/>
      <c r="AI11" s="7"/>
      <c r="AK11" s="5"/>
      <c r="AL11" s="5"/>
      <c r="AM11" s="5"/>
      <c r="AN11" s="5"/>
      <c r="AO11" s="7"/>
      <c r="AP11" s="7"/>
      <c r="AQ11" s="7"/>
      <c r="AR11" s="7"/>
    </row>
    <row r="12" spans="1:44" ht="15.75" customHeight="1">
      <c r="A12" s="8">
        <v>11</v>
      </c>
      <c r="B12" s="17">
        <v>10.5</v>
      </c>
      <c r="C12" s="17">
        <v>11</v>
      </c>
      <c r="D12" s="6">
        <f t="shared" si="0"/>
        <v>0.95454545454545459</v>
      </c>
      <c r="E12" s="7"/>
      <c r="F12" s="7"/>
      <c r="G12" s="7"/>
      <c r="H12" s="7"/>
      <c r="J12" s="5"/>
      <c r="K12" s="5"/>
      <c r="L12" s="5"/>
      <c r="M12" s="5"/>
      <c r="N12" s="7"/>
      <c r="O12" s="7"/>
      <c r="P12" s="7"/>
      <c r="Q12" s="7"/>
      <c r="S12" s="5"/>
      <c r="T12" s="5"/>
      <c r="U12" s="5"/>
      <c r="V12" s="5"/>
      <c r="W12" s="7"/>
      <c r="X12" s="7"/>
      <c r="Y12" s="7"/>
      <c r="Z12" s="7"/>
      <c r="AA12" s="7"/>
      <c r="AB12" s="5"/>
      <c r="AC12" s="5"/>
      <c r="AD12" s="5"/>
      <c r="AE12" s="5"/>
      <c r="AF12" s="7"/>
      <c r="AG12" s="7"/>
      <c r="AH12" s="7"/>
      <c r="AI12" s="7"/>
      <c r="AK12" s="5"/>
      <c r="AL12" s="5"/>
      <c r="AM12" s="5"/>
      <c r="AN12" s="5"/>
      <c r="AO12" s="7"/>
      <c r="AP12" s="7"/>
      <c r="AQ12" s="7"/>
      <c r="AR12" s="7"/>
    </row>
    <row r="13" spans="1:44" ht="15.75" customHeight="1">
      <c r="A13" s="8">
        <v>12</v>
      </c>
      <c r="B13" s="17">
        <v>11</v>
      </c>
      <c r="C13" s="17">
        <v>11</v>
      </c>
      <c r="D13" s="6">
        <f t="shared" si="0"/>
        <v>1</v>
      </c>
      <c r="E13" s="7"/>
      <c r="F13" s="7"/>
      <c r="G13" s="7"/>
      <c r="H13" s="7"/>
      <c r="J13" s="5"/>
      <c r="K13" s="5"/>
      <c r="L13" s="5"/>
      <c r="M13" s="5"/>
      <c r="N13" s="7"/>
      <c r="O13" s="7"/>
      <c r="P13" s="7"/>
      <c r="Q13" s="7"/>
      <c r="S13" s="5"/>
      <c r="T13" s="5"/>
      <c r="U13" s="5"/>
      <c r="V13" s="5"/>
      <c r="W13" s="7"/>
      <c r="X13" s="7"/>
      <c r="Y13" s="7"/>
      <c r="Z13" s="7"/>
      <c r="AA13" s="7"/>
      <c r="AB13" s="5"/>
      <c r="AC13" s="5"/>
      <c r="AD13" s="5"/>
      <c r="AE13" s="5"/>
      <c r="AF13" s="7"/>
      <c r="AG13" s="7"/>
      <c r="AH13" s="7"/>
      <c r="AI13" s="7"/>
      <c r="AK13" s="5"/>
      <c r="AL13" s="5"/>
      <c r="AM13" s="5"/>
      <c r="AN13" s="5"/>
      <c r="AO13" s="7"/>
      <c r="AP13" s="7"/>
      <c r="AQ13" s="7"/>
      <c r="AR13" s="7"/>
    </row>
    <row r="14" spans="1:44" ht="15.75" customHeight="1">
      <c r="A14" s="8">
        <v>13</v>
      </c>
      <c r="B14" s="17">
        <v>10.5</v>
      </c>
      <c r="C14" s="17">
        <v>10.5</v>
      </c>
      <c r="D14" s="6">
        <f t="shared" si="0"/>
        <v>1</v>
      </c>
      <c r="E14" s="7"/>
      <c r="F14" s="7"/>
      <c r="G14" s="7"/>
      <c r="H14" s="7"/>
      <c r="J14" s="5"/>
      <c r="K14" s="5"/>
      <c r="L14" s="5"/>
      <c r="M14" s="5"/>
      <c r="N14" s="7"/>
      <c r="O14" s="7"/>
      <c r="P14" s="7"/>
      <c r="Q14" s="7"/>
      <c r="S14" s="5"/>
      <c r="T14" s="5"/>
      <c r="U14" s="5"/>
      <c r="V14" s="5"/>
      <c r="W14" s="7"/>
      <c r="X14" s="7"/>
      <c r="Y14" s="7"/>
      <c r="Z14" s="7"/>
      <c r="AA14" s="7"/>
      <c r="AB14" s="5"/>
      <c r="AC14" s="5"/>
      <c r="AD14" s="5"/>
      <c r="AE14" s="5"/>
      <c r="AF14" s="7"/>
      <c r="AG14" s="7"/>
      <c r="AH14" s="7"/>
      <c r="AI14" s="7"/>
      <c r="AK14" s="5"/>
      <c r="AL14" s="5"/>
      <c r="AM14" s="5"/>
      <c r="AN14" s="5"/>
      <c r="AO14" s="7"/>
      <c r="AP14" s="7"/>
      <c r="AQ14" s="7"/>
      <c r="AR14" s="7"/>
    </row>
    <row r="15" spans="1:44" ht="15.75" customHeight="1">
      <c r="A15" s="8">
        <v>14</v>
      </c>
      <c r="B15" s="17">
        <v>11</v>
      </c>
      <c r="C15" s="17">
        <v>11</v>
      </c>
      <c r="D15" s="6">
        <f t="shared" si="0"/>
        <v>1</v>
      </c>
      <c r="E15" s="7"/>
      <c r="F15" s="7"/>
      <c r="G15" s="7"/>
      <c r="H15" s="7"/>
      <c r="J15" s="5"/>
      <c r="K15" s="5"/>
      <c r="L15" s="5"/>
      <c r="M15" s="5"/>
      <c r="N15" s="7"/>
      <c r="O15" s="7"/>
      <c r="P15" s="7"/>
      <c r="Q15" s="7"/>
      <c r="S15" s="5"/>
      <c r="T15" s="5"/>
      <c r="U15" s="5"/>
      <c r="V15" s="5"/>
      <c r="W15" s="7"/>
      <c r="X15" s="7"/>
      <c r="Y15" s="7"/>
      <c r="Z15" s="7"/>
      <c r="AA15" s="7"/>
      <c r="AB15" s="5"/>
      <c r="AC15" s="5"/>
      <c r="AD15" s="5"/>
      <c r="AE15" s="5"/>
      <c r="AF15" s="7"/>
      <c r="AG15" s="7"/>
      <c r="AH15" s="7"/>
      <c r="AI15" s="7"/>
      <c r="AK15" s="5"/>
      <c r="AL15" s="5"/>
      <c r="AM15" s="5"/>
      <c r="AN15" s="5"/>
      <c r="AO15" s="7"/>
      <c r="AP15" s="7"/>
      <c r="AQ15" s="7"/>
      <c r="AR15" s="7"/>
    </row>
    <row r="16" spans="1:44" ht="15.75" customHeight="1">
      <c r="A16" s="8">
        <v>15</v>
      </c>
      <c r="B16" s="17">
        <v>11</v>
      </c>
      <c r="C16" s="17">
        <v>11.5</v>
      </c>
      <c r="D16" s="6">
        <f t="shared" si="0"/>
        <v>0.95652173913043481</v>
      </c>
      <c r="E16" s="7"/>
      <c r="F16" s="7"/>
      <c r="G16" s="7"/>
      <c r="H16" s="7"/>
      <c r="J16" s="5"/>
      <c r="K16" s="5"/>
      <c r="L16" s="5"/>
      <c r="M16" s="5"/>
      <c r="N16" s="7"/>
      <c r="O16" s="7"/>
      <c r="P16" s="7"/>
      <c r="Q16" s="7"/>
      <c r="S16" s="5"/>
      <c r="T16" s="5"/>
      <c r="U16" s="5"/>
      <c r="V16" s="5"/>
      <c r="W16" s="7"/>
      <c r="X16" s="7"/>
      <c r="Y16" s="7"/>
      <c r="Z16" s="7"/>
      <c r="AA16" s="7"/>
      <c r="AB16" s="5"/>
      <c r="AC16" s="5"/>
      <c r="AD16" s="5"/>
      <c r="AE16" s="5"/>
      <c r="AF16" s="7"/>
      <c r="AG16" s="7"/>
      <c r="AH16" s="7"/>
      <c r="AI16" s="7"/>
      <c r="AK16" s="5"/>
      <c r="AL16" s="5"/>
      <c r="AM16" s="5"/>
      <c r="AN16" s="5"/>
      <c r="AO16" s="7"/>
      <c r="AP16" s="7"/>
      <c r="AQ16" s="7"/>
      <c r="AR16" s="7"/>
    </row>
    <row r="17" spans="1:44" ht="15.75" customHeight="1">
      <c r="A17" s="8">
        <v>16</v>
      </c>
      <c r="B17" s="17">
        <v>11</v>
      </c>
      <c r="C17" s="17">
        <v>11</v>
      </c>
      <c r="D17" s="6">
        <f t="shared" si="0"/>
        <v>1</v>
      </c>
      <c r="E17" s="7"/>
      <c r="F17" s="7"/>
      <c r="G17" s="7"/>
      <c r="H17" s="7"/>
      <c r="J17" s="5"/>
      <c r="K17" s="5"/>
      <c r="L17" s="5"/>
      <c r="M17" s="5"/>
      <c r="N17" s="7"/>
      <c r="O17" s="7"/>
      <c r="P17" s="7"/>
      <c r="Q17" s="7"/>
      <c r="S17" s="5"/>
      <c r="T17" s="5"/>
      <c r="U17" s="5"/>
      <c r="V17" s="5"/>
      <c r="W17" s="7"/>
      <c r="X17" s="7"/>
      <c r="Y17" s="7"/>
      <c r="Z17" s="7"/>
      <c r="AA17" s="7"/>
      <c r="AB17" s="5"/>
      <c r="AC17" s="5"/>
      <c r="AD17" s="5"/>
      <c r="AE17" s="5"/>
      <c r="AF17" s="7"/>
      <c r="AG17" s="7"/>
      <c r="AH17" s="7"/>
      <c r="AI17" s="7"/>
      <c r="AK17" s="5"/>
      <c r="AL17" s="5"/>
      <c r="AM17" s="5"/>
      <c r="AN17" s="5"/>
      <c r="AO17" s="7"/>
      <c r="AP17" s="7"/>
      <c r="AQ17" s="7"/>
      <c r="AR17" s="7"/>
    </row>
    <row r="18" spans="1:44" ht="15.75" customHeight="1">
      <c r="A18" s="8">
        <v>17</v>
      </c>
      <c r="B18" s="17">
        <v>11</v>
      </c>
      <c r="C18" s="17">
        <v>11.5</v>
      </c>
      <c r="D18" s="6">
        <f t="shared" si="0"/>
        <v>0.95652173913043481</v>
      </c>
      <c r="E18" s="7"/>
      <c r="F18" s="7"/>
      <c r="G18" s="7"/>
      <c r="H18" s="7"/>
      <c r="J18" s="5"/>
      <c r="K18" s="5"/>
      <c r="L18" s="5"/>
      <c r="M18" s="5"/>
      <c r="N18" s="7"/>
      <c r="O18" s="7"/>
      <c r="P18" s="7"/>
      <c r="Q18" s="7"/>
      <c r="S18" s="5"/>
      <c r="T18" s="5"/>
      <c r="U18" s="5"/>
      <c r="V18" s="5"/>
      <c r="W18" s="7"/>
      <c r="X18" s="7"/>
      <c r="Y18" s="7"/>
      <c r="Z18" s="7"/>
      <c r="AA18" s="7"/>
      <c r="AB18" s="5"/>
      <c r="AC18" s="5"/>
      <c r="AD18" s="5"/>
      <c r="AE18" s="5"/>
      <c r="AF18" s="7"/>
      <c r="AG18" s="7"/>
      <c r="AH18" s="7"/>
      <c r="AI18" s="7"/>
      <c r="AK18" s="5"/>
      <c r="AL18" s="5"/>
      <c r="AM18" s="5"/>
      <c r="AN18" s="5"/>
      <c r="AO18" s="7"/>
      <c r="AP18" s="7"/>
      <c r="AQ18" s="7"/>
      <c r="AR18" s="7"/>
    </row>
    <row r="19" spans="1:44" ht="15.75" customHeight="1">
      <c r="A19" s="8">
        <v>18</v>
      </c>
      <c r="B19" s="17">
        <v>10.5</v>
      </c>
      <c r="C19" s="17">
        <v>10.5</v>
      </c>
      <c r="D19" s="6">
        <f t="shared" si="0"/>
        <v>1</v>
      </c>
      <c r="E19" s="7"/>
      <c r="F19" s="7"/>
      <c r="G19" s="7"/>
      <c r="H19" s="7"/>
      <c r="J19" s="5"/>
      <c r="K19" s="5"/>
      <c r="L19" s="5"/>
      <c r="M19" s="5"/>
      <c r="N19" s="7"/>
      <c r="O19" s="7"/>
      <c r="P19" s="7"/>
      <c r="Q19" s="7"/>
      <c r="S19" s="5"/>
      <c r="T19" s="5"/>
      <c r="U19" s="5"/>
      <c r="V19" s="5"/>
      <c r="W19" s="7"/>
      <c r="X19" s="7"/>
      <c r="Y19" s="7"/>
      <c r="Z19" s="7"/>
      <c r="AA19" s="7"/>
      <c r="AB19" s="5"/>
      <c r="AC19" s="5"/>
      <c r="AD19" s="5"/>
      <c r="AE19" s="5"/>
      <c r="AF19" s="7"/>
      <c r="AG19" s="7"/>
      <c r="AH19" s="7"/>
      <c r="AI19" s="7"/>
      <c r="AK19" s="5"/>
      <c r="AL19" s="5"/>
      <c r="AM19" s="5"/>
      <c r="AN19" s="5"/>
      <c r="AO19" s="7"/>
      <c r="AP19" s="7"/>
      <c r="AQ19" s="7"/>
      <c r="AR19" s="7"/>
    </row>
    <row r="20" spans="1:44" ht="15.75" customHeight="1">
      <c r="A20" s="8">
        <v>19</v>
      </c>
      <c r="B20" s="17">
        <v>11.5</v>
      </c>
      <c r="C20" s="17">
        <v>11</v>
      </c>
      <c r="D20" s="6">
        <f t="shared" si="0"/>
        <v>1.0454545454545454</v>
      </c>
      <c r="E20" s="7"/>
      <c r="F20" s="7"/>
      <c r="G20" s="7"/>
      <c r="H20" s="7"/>
      <c r="J20" s="5"/>
      <c r="K20" s="5"/>
      <c r="L20" s="5"/>
      <c r="M20" s="5"/>
      <c r="N20" s="7"/>
      <c r="O20" s="7"/>
      <c r="P20" s="7"/>
      <c r="Q20" s="7"/>
      <c r="S20" s="5"/>
      <c r="T20" s="5"/>
      <c r="U20" s="5"/>
      <c r="V20" s="5"/>
      <c r="W20" s="7"/>
      <c r="X20" s="7"/>
      <c r="Y20" s="7"/>
      <c r="Z20" s="7"/>
      <c r="AA20" s="7"/>
      <c r="AB20" s="5"/>
      <c r="AC20" s="5"/>
      <c r="AD20" s="5"/>
      <c r="AE20" s="5"/>
      <c r="AF20" s="7"/>
      <c r="AG20" s="7"/>
      <c r="AH20" s="7"/>
      <c r="AI20" s="7"/>
      <c r="AK20" s="5"/>
      <c r="AL20" s="5"/>
      <c r="AM20" s="5"/>
      <c r="AN20" s="5"/>
      <c r="AO20" s="7"/>
      <c r="AP20" s="7"/>
      <c r="AQ20" s="7"/>
      <c r="AR20" s="7"/>
    </row>
    <row r="21" spans="1:44" ht="15.75" customHeight="1">
      <c r="A21" s="8">
        <v>20</v>
      </c>
      <c r="B21" s="17">
        <v>11</v>
      </c>
      <c r="C21" s="17">
        <v>11</v>
      </c>
      <c r="D21" s="6">
        <f t="shared" si="0"/>
        <v>1</v>
      </c>
      <c r="E21" s="7"/>
      <c r="F21" s="7"/>
      <c r="G21" s="7"/>
      <c r="H21" s="7"/>
      <c r="J21" s="5"/>
      <c r="K21" s="5"/>
      <c r="L21" s="5"/>
      <c r="M21" s="5"/>
      <c r="N21" s="7"/>
      <c r="O21" s="7"/>
      <c r="P21" s="7"/>
      <c r="Q21" s="7"/>
      <c r="S21" s="5"/>
      <c r="T21" s="5"/>
      <c r="U21" s="5"/>
      <c r="V21" s="5"/>
      <c r="W21" s="7"/>
      <c r="X21" s="7"/>
      <c r="Y21" s="7"/>
      <c r="Z21" s="7"/>
      <c r="AA21" s="7"/>
      <c r="AB21" s="5"/>
      <c r="AC21" s="5"/>
      <c r="AD21" s="5"/>
      <c r="AE21" s="5"/>
      <c r="AF21" s="7"/>
      <c r="AG21" s="7"/>
      <c r="AH21" s="7"/>
      <c r="AI21" s="7"/>
      <c r="AK21" s="5"/>
      <c r="AL21" s="5"/>
      <c r="AM21" s="5"/>
      <c r="AN21" s="5"/>
      <c r="AO21" s="7"/>
      <c r="AP21" s="7"/>
      <c r="AQ21" s="7"/>
      <c r="AR21" s="7"/>
    </row>
    <row r="22" spans="1:44" ht="15.75" customHeight="1">
      <c r="A22" s="8">
        <v>21</v>
      </c>
      <c r="B22" s="17">
        <v>11.5</v>
      </c>
      <c r="C22" s="17">
        <v>12</v>
      </c>
      <c r="D22" s="6">
        <f t="shared" si="0"/>
        <v>0.95833333333333337</v>
      </c>
      <c r="E22" s="7"/>
      <c r="F22" s="7"/>
      <c r="G22" s="7"/>
      <c r="H22" s="7"/>
      <c r="J22" s="5"/>
      <c r="K22" s="5"/>
      <c r="L22" s="5"/>
      <c r="M22" s="5"/>
      <c r="N22" s="7"/>
      <c r="O22" s="7"/>
      <c r="P22" s="7"/>
      <c r="Q22" s="7"/>
      <c r="S22" s="5"/>
      <c r="T22" s="5"/>
      <c r="U22" s="5"/>
      <c r="V22" s="5"/>
      <c r="W22" s="7"/>
      <c r="X22" s="7"/>
      <c r="Y22" s="7"/>
      <c r="Z22" s="7"/>
      <c r="AA22" s="7"/>
      <c r="AB22" s="5"/>
      <c r="AC22" s="5"/>
      <c r="AD22" s="5"/>
      <c r="AE22" s="5"/>
      <c r="AF22" s="7"/>
      <c r="AG22" s="7"/>
      <c r="AH22" s="7"/>
      <c r="AI22" s="7"/>
      <c r="AK22" s="5"/>
      <c r="AL22" s="5"/>
      <c r="AM22" s="5"/>
      <c r="AN22" s="5"/>
      <c r="AO22" s="7"/>
      <c r="AP22" s="7"/>
      <c r="AQ22" s="7"/>
      <c r="AR22" s="7"/>
    </row>
    <row r="23" spans="1:44" ht="15.75" customHeight="1">
      <c r="A23" s="8">
        <v>22</v>
      </c>
      <c r="B23" s="17">
        <v>11.5</v>
      </c>
      <c r="C23" s="17">
        <v>10.5</v>
      </c>
      <c r="D23" s="6">
        <f t="shared" si="0"/>
        <v>1.0952380952380953</v>
      </c>
      <c r="E23" s="7"/>
      <c r="F23" s="7"/>
      <c r="G23" s="7"/>
      <c r="H23" s="7"/>
      <c r="J23" s="5"/>
      <c r="K23" s="5"/>
      <c r="L23" s="5"/>
      <c r="M23" s="5"/>
      <c r="N23" s="7"/>
      <c r="O23" s="7"/>
      <c r="P23" s="7"/>
      <c r="Q23" s="7"/>
      <c r="S23" s="5"/>
      <c r="T23" s="5"/>
      <c r="U23" s="5"/>
      <c r="V23" s="5"/>
      <c r="W23" s="7"/>
      <c r="X23" s="7"/>
      <c r="Y23" s="7"/>
      <c r="Z23" s="7"/>
      <c r="AA23" s="7"/>
      <c r="AB23" s="5"/>
      <c r="AC23" s="5"/>
      <c r="AD23" s="5"/>
      <c r="AE23" s="5"/>
      <c r="AF23" s="7"/>
      <c r="AG23" s="7"/>
      <c r="AH23" s="7"/>
      <c r="AI23" s="7"/>
      <c r="AK23" s="5"/>
      <c r="AL23" s="5"/>
      <c r="AM23" s="5"/>
      <c r="AN23" s="5"/>
      <c r="AO23" s="7"/>
      <c r="AP23" s="7"/>
      <c r="AQ23" s="7"/>
      <c r="AR23" s="7"/>
    </row>
    <row r="24" spans="1:44" ht="15.75" customHeight="1">
      <c r="A24" s="8">
        <v>23</v>
      </c>
      <c r="B24" s="17">
        <v>12</v>
      </c>
      <c r="C24" s="17">
        <v>11.5</v>
      </c>
      <c r="D24" s="6">
        <f t="shared" si="0"/>
        <v>1.0434782608695652</v>
      </c>
      <c r="E24" s="7"/>
      <c r="F24" s="7"/>
      <c r="G24" s="7"/>
      <c r="H24" s="7"/>
      <c r="J24" s="5"/>
      <c r="K24" s="5"/>
      <c r="L24" s="5"/>
      <c r="M24" s="5"/>
      <c r="N24" s="7"/>
      <c r="O24" s="7"/>
      <c r="P24" s="7"/>
      <c r="Q24" s="7"/>
      <c r="S24" s="5"/>
      <c r="T24" s="5"/>
      <c r="U24" s="5"/>
      <c r="V24" s="5"/>
      <c r="W24" s="7"/>
      <c r="X24" s="7"/>
      <c r="Y24" s="7"/>
      <c r="Z24" s="7"/>
      <c r="AA24" s="7"/>
      <c r="AB24" s="5"/>
      <c r="AC24" s="5"/>
      <c r="AD24" s="5"/>
      <c r="AE24" s="5"/>
      <c r="AF24" s="7"/>
      <c r="AG24" s="7"/>
      <c r="AH24" s="7"/>
      <c r="AI24" s="7"/>
      <c r="AK24" s="5"/>
      <c r="AL24" s="5"/>
      <c r="AM24" s="5"/>
      <c r="AN24" s="5"/>
      <c r="AO24" s="7"/>
      <c r="AP24" s="7"/>
      <c r="AQ24" s="7"/>
      <c r="AR24" s="7"/>
    </row>
    <row r="25" spans="1:44" ht="15.75" customHeight="1">
      <c r="A25" s="8">
        <v>24</v>
      </c>
      <c r="B25" s="17">
        <v>11</v>
      </c>
      <c r="C25" s="17">
        <v>10.5</v>
      </c>
      <c r="D25" s="6">
        <f t="shared" si="0"/>
        <v>1.0476190476190477</v>
      </c>
      <c r="E25" s="7"/>
      <c r="F25" s="7"/>
      <c r="G25" s="7"/>
      <c r="H25" s="7"/>
      <c r="J25" s="5"/>
      <c r="K25" s="5"/>
      <c r="L25" s="5"/>
      <c r="M25" s="5"/>
      <c r="N25" s="7"/>
      <c r="O25" s="7"/>
      <c r="P25" s="7"/>
      <c r="Q25" s="7"/>
      <c r="S25" s="5"/>
      <c r="T25" s="5"/>
      <c r="U25" s="5"/>
      <c r="V25" s="5"/>
      <c r="W25" s="7"/>
      <c r="X25" s="7"/>
      <c r="Y25" s="7"/>
      <c r="Z25" s="7"/>
      <c r="AA25" s="7"/>
      <c r="AB25" s="5"/>
      <c r="AC25" s="5"/>
      <c r="AD25" s="5"/>
      <c r="AE25" s="5"/>
      <c r="AF25" s="7"/>
      <c r="AG25" s="7"/>
      <c r="AH25" s="7"/>
      <c r="AI25" s="7"/>
      <c r="AK25" s="5"/>
      <c r="AL25" s="5"/>
      <c r="AM25" s="5"/>
      <c r="AN25" s="5"/>
      <c r="AO25" s="7"/>
      <c r="AP25" s="7"/>
      <c r="AQ25" s="7"/>
      <c r="AR25" s="7"/>
    </row>
    <row r="26" spans="1:44" ht="15.75" customHeight="1">
      <c r="A26" s="8">
        <v>25</v>
      </c>
      <c r="B26" s="17">
        <v>10.5</v>
      </c>
      <c r="C26" s="17">
        <v>11</v>
      </c>
      <c r="D26" s="6">
        <f t="shared" si="0"/>
        <v>0.95454545454545459</v>
      </c>
      <c r="E26" s="7"/>
      <c r="F26" s="7"/>
      <c r="G26" s="7"/>
      <c r="H26" s="7"/>
      <c r="J26" s="5"/>
      <c r="K26" s="5"/>
      <c r="L26" s="5"/>
      <c r="M26" s="5"/>
      <c r="N26" s="7"/>
      <c r="O26" s="7"/>
      <c r="P26" s="7"/>
      <c r="Q26" s="7"/>
      <c r="S26" s="5"/>
      <c r="T26" s="5"/>
      <c r="U26" s="5"/>
      <c r="V26" s="5"/>
      <c r="W26" s="7"/>
      <c r="X26" s="7"/>
      <c r="Y26" s="7"/>
      <c r="Z26" s="7"/>
      <c r="AA26" s="7"/>
      <c r="AB26" s="5"/>
      <c r="AC26" s="5"/>
      <c r="AD26" s="5"/>
      <c r="AE26" s="5"/>
      <c r="AF26" s="7"/>
      <c r="AG26" s="7"/>
      <c r="AH26" s="7"/>
      <c r="AI26" s="7"/>
      <c r="AK26" s="5"/>
      <c r="AL26" s="5"/>
      <c r="AM26" s="5"/>
      <c r="AN26" s="5"/>
      <c r="AO26" s="7"/>
      <c r="AP26" s="7"/>
      <c r="AQ26" s="7"/>
      <c r="AR26" s="7"/>
    </row>
    <row r="27" spans="1:44" ht="15.75" customHeight="1">
      <c r="A27" s="4" t="s">
        <v>10</v>
      </c>
      <c r="B27" s="5">
        <f t="shared" ref="B27:D27" si="1">AVERAGE(B2:B26)</f>
        <v>11.16</v>
      </c>
      <c r="C27" s="5">
        <f t="shared" si="1"/>
        <v>11.12</v>
      </c>
      <c r="D27" s="9">
        <f t="shared" si="1"/>
        <v>1.0045855448898926</v>
      </c>
      <c r="E27" s="7"/>
      <c r="F27" s="7"/>
      <c r="G27" s="7"/>
      <c r="H27" s="7"/>
      <c r="J27" s="17"/>
      <c r="K27" s="5"/>
      <c r="L27" s="5"/>
      <c r="M27" s="5"/>
      <c r="N27" s="7"/>
      <c r="O27" s="7"/>
      <c r="P27" s="7"/>
      <c r="Q27" s="7"/>
      <c r="S27" s="17"/>
      <c r="T27" s="5"/>
      <c r="U27" s="5"/>
      <c r="V27" s="5"/>
      <c r="W27" s="7"/>
      <c r="X27" s="7"/>
      <c r="Y27" s="7"/>
      <c r="Z27" s="7"/>
      <c r="AA27" s="7"/>
      <c r="AB27" s="17"/>
      <c r="AC27" s="5"/>
      <c r="AD27" s="5"/>
      <c r="AE27" s="5"/>
      <c r="AF27" s="7"/>
      <c r="AG27" s="7"/>
      <c r="AH27" s="7"/>
      <c r="AI27" s="7"/>
      <c r="AK27" s="17"/>
      <c r="AL27" s="5"/>
      <c r="AM27" s="5"/>
      <c r="AN27" s="5"/>
      <c r="AO27" s="7"/>
      <c r="AP27" s="7"/>
      <c r="AQ27" s="7"/>
      <c r="AR27" s="7"/>
    </row>
    <row r="28" spans="1:44" ht="15.75" customHeight="1">
      <c r="A28" s="4" t="s">
        <v>11</v>
      </c>
      <c r="B28" s="5">
        <f t="shared" ref="B28:D28" si="2">MIN(B3:B26)</f>
        <v>10</v>
      </c>
      <c r="C28" s="5">
        <f t="shared" si="2"/>
        <v>10</v>
      </c>
      <c r="D28" s="9">
        <f t="shared" si="2"/>
        <v>0.95238095238095233</v>
      </c>
      <c r="E28" s="7"/>
      <c r="F28" s="7"/>
      <c r="G28" s="7"/>
      <c r="H28" s="7"/>
      <c r="J28" s="17"/>
      <c r="K28" s="5"/>
      <c r="L28" s="5"/>
      <c r="M28" s="5"/>
      <c r="N28" s="7"/>
      <c r="O28" s="7"/>
      <c r="P28" s="7"/>
      <c r="Q28" s="7"/>
      <c r="S28" s="17"/>
      <c r="T28" s="5"/>
      <c r="U28" s="5"/>
      <c r="V28" s="5"/>
      <c r="W28" s="7"/>
      <c r="X28" s="7"/>
      <c r="Y28" s="7"/>
      <c r="Z28" s="7"/>
      <c r="AA28" s="7"/>
      <c r="AB28" s="17"/>
      <c r="AC28" s="5"/>
      <c r="AD28" s="5"/>
      <c r="AE28" s="5"/>
      <c r="AF28" s="7"/>
      <c r="AG28" s="7"/>
      <c r="AH28" s="7"/>
      <c r="AI28" s="7"/>
      <c r="AK28" s="17"/>
      <c r="AL28" s="5"/>
      <c r="AM28" s="5"/>
      <c r="AN28" s="5"/>
      <c r="AO28" s="7"/>
      <c r="AP28" s="7"/>
      <c r="AQ28" s="7"/>
      <c r="AR28" s="7"/>
    </row>
    <row r="29" spans="1:44" ht="15.75" customHeight="1">
      <c r="A29" s="4" t="s">
        <v>12</v>
      </c>
      <c r="B29" s="5">
        <f t="shared" ref="B29:D29" si="3">MAX(B4:B26)</f>
        <v>12.5</v>
      </c>
      <c r="C29" s="5">
        <f t="shared" si="3"/>
        <v>12.5</v>
      </c>
      <c r="D29" s="9">
        <f t="shared" si="3"/>
        <v>1.0952380952380953</v>
      </c>
      <c r="E29" s="7"/>
      <c r="F29" s="7"/>
      <c r="G29" s="7"/>
      <c r="H29" s="7"/>
      <c r="J29" s="17"/>
      <c r="K29" s="5"/>
      <c r="L29" s="5"/>
      <c r="M29" s="5"/>
      <c r="N29" s="7"/>
      <c r="O29" s="7"/>
      <c r="P29" s="7"/>
      <c r="Q29" s="7"/>
      <c r="S29" s="17"/>
      <c r="T29" s="5"/>
      <c r="U29" s="5"/>
      <c r="V29" s="5"/>
      <c r="W29" s="7"/>
      <c r="X29" s="7"/>
      <c r="Y29" s="7"/>
      <c r="Z29" s="7"/>
      <c r="AA29" s="7"/>
      <c r="AB29" s="17"/>
      <c r="AC29" s="5"/>
      <c r="AD29" s="5"/>
      <c r="AE29" s="5"/>
      <c r="AF29" s="7"/>
      <c r="AG29" s="7"/>
      <c r="AH29" s="7"/>
      <c r="AI29" s="7"/>
      <c r="AK29" s="17"/>
      <c r="AL29" s="5"/>
      <c r="AM29" s="5"/>
      <c r="AN29" s="5"/>
      <c r="AO29" s="7"/>
      <c r="AP29" s="7"/>
      <c r="AQ29" s="7"/>
      <c r="AR29" s="7"/>
    </row>
    <row r="30" spans="1:44" ht="15.75" customHeight="1">
      <c r="A30" s="2"/>
      <c r="B30" s="7"/>
      <c r="C30" s="7"/>
      <c r="D30" s="7"/>
      <c r="E30" s="7"/>
      <c r="F30" s="7"/>
      <c r="G30" s="7"/>
      <c r="H30" s="7"/>
      <c r="J30" s="17"/>
      <c r="K30" s="5"/>
      <c r="L30" s="5"/>
      <c r="M30" s="5"/>
      <c r="N30" s="7"/>
      <c r="O30" s="7"/>
      <c r="P30" s="7"/>
      <c r="Q30" s="7"/>
      <c r="S30" s="17"/>
      <c r="T30" s="5"/>
      <c r="U30" s="5"/>
      <c r="V30" s="5"/>
      <c r="W30" s="7"/>
      <c r="X30" s="7"/>
      <c r="Y30" s="7"/>
      <c r="Z30" s="7"/>
      <c r="AA30" s="7"/>
      <c r="AB30" s="17"/>
      <c r="AC30" s="5"/>
      <c r="AD30" s="5"/>
      <c r="AE30" s="5"/>
      <c r="AF30" s="7"/>
      <c r="AG30" s="7"/>
      <c r="AH30" s="7"/>
      <c r="AI30" s="7"/>
      <c r="AK30" s="17"/>
      <c r="AL30" s="5"/>
      <c r="AM30" s="5"/>
      <c r="AN30" s="5"/>
      <c r="AO30" s="7"/>
      <c r="AP30" s="7"/>
      <c r="AQ30" s="7"/>
      <c r="AR30" s="7"/>
    </row>
    <row r="31" spans="1:44" ht="15.75" customHeight="1">
      <c r="A31" s="2"/>
      <c r="B31" s="7"/>
      <c r="C31" s="7"/>
      <c r="D31" s="7"/>
      <c r="E31" s="7"/>
      <c r="F31" s="7"/>
      <c r="G31" s="7"/>
      <c r="H31" s="7"/>
      <c r="J31" s="17"/>
      <c r="K31" s="5"/>
      <c r="L31" s="5"/>
      <c r="M31" s="5"/>
      <c r="N31" s="7"/>
      <c r="O31" s="7"/>
      <c r="P31" s="7"/>
      <c r="Q31" s="7"/>
      <c r="S31" s="17"/>
      <c r="T31" s="5"/>
      <c r="U31" s="5"/>
      <c r="V31" s="5"/>
      <c r="W31" s="7"/>
      <c r="X31" s="7"/>
      <c r="Y31" s="7"/>
      <c r="Z31" s="7"/>
      <c r="AA31" s="7"/>
      <c r="AB31" s="17"/>
      <c r="AC31" s="5"/>
      <c r="AD31" s="5"/>
      <c r="AE31" s="5"/>
      <c r="AF31" s="7"/>
      <c r="AG31" s="7"/>
      <c r="AH31" s="7"/>
      <c r="AI31" s="7"/>
      <c r="AK31" s="17"/>
      <c r="AL31" s="5"/>
      <c r="AM31" s="5"/>
      <c r="AN31" s="5"/>
      <c r="AO31" s="7"/>
      <c r="AP31" s="7"/>
      <c r="AQ31" s="7"/>
      <c r="AR31" s="7"/>
    </row>
    <row r="32" spans="1:44" ht="15.75" customHeight="1">
      <c r="A32" s="2" t="s">
        <v>13</v>
      </c>
      <c r="B32" s="2" t="s">
        <v>3</v>
      </c>
      <c r="C32" s="2" t="s">
        <v>4</v>
      </c>
      <c r="D32" s="2" t="s">
        <v>14</v>
      </c>
      <c r="E32" s="2" t="s">
        <v>15</v>
      </c>
      <c r="F32" s="2" t="s">
        <v>9</v>
      </c>
      <c r="G32" s="2" t="s">
        <v>16</v>
      </c>
      <c r="H32" s="2" t="s">
        <v>17</v>
      </c>
      <c r="I32" s="1" t="s">
        <v>308</v>
      </c>
      <c r="M32" s="5"/>
      <c r="N32" s="7"/>
      <c r="O32" s="7"/>
      <c r="P32" s="7"/>
      <c r="Q32" s="7"/>
      <c r="S32" s="17"/>
      <c r="T32" s="5"/>
      <c r="U32" s="5"/>
      <c r="V32" s="5"/>
      <c r="W32" s="7"/>
      <c r="X32" s="7"/>
      <c r="Y32" s="7"/>
      <c r="Z32" s="7"/>
      <c r="AA32" s="7"/>
      <c r="AB32" s="17"/>
      <c r="AC32" s="5"/>
      <c r="AD32" s="5"/>
      <c r="AE32" s="5"/>
      <c r="AF32" s="7"/>
      <c r="AG32" s="7"/>
      <c r="AH32" s="7"/>
      <c r="AI32" s="7"/>
      <c r="AK32" s="17"/>
      <c r="AL32" s="5"/>
      <c r="AM32" s="5"/>
      <c r="AN32" s="5"/>
      <c r="AO32" s="7"/>
      <c r="AP32" s="7"/>
      <c r="AQ32" s="7"/>
      <c r="AR32" s="7"/>
    </row>
    <row r="33" spans="1:44" ht="15.75" customHeight="1">
      <c r="A33" s="4">
        <v>1</v>
      </c>
      <c r="B33" s="17">
        <v>63</v>
      </c>
      <c r="C33" s="17">
        <v>18</v>
      </c>
      <c r="D33" s="17">
        <v>4</v>
      </c>
      <c r="E33" s="17">
        <v>9</v>
      </c>
      <c r="F33" s="14" t="s">
        <v>309</v>
      </c>
      <c r="G33" s="7"/>
      <c r="H33" s="7"/>
      <c r="J33" s="17"/>
      <c r="K33" s="17" t="s">
        <v>310</v>
      </c>
      <c r="L33" s="5"/>
      <c r="M33" s="5"/>
      <c r="N33" s="7"/>
      <c r="O33" s="7"/>
      <c r="P33" s="7"/>
      <c r="Q33" s="7"/>
      <c r="S33" s="17"/>
      <c r="T33" s="5"/>
      <c r="U33" s="5"/>
      <c r="V33" s="5"/>
      <c r="W33" s="7"/>
      <c r="X33" s="7"/>
      <c r="Y33" s="7"/>
      <c r="Z33" s="7"/>
      <c r="AA33" s="7"/>
      <c r="AB33" s="17"/>
      <c r="AC33" s="5"/>
      <c r="AD33" s="5"/>
      <c r="AE33" s="5"/>
      <c r="AF33" s="7"/>
      <c r="AG33" s="7"/>
      <c r="AH33" s="7"/>
      <c r="AI33" s="7"/>
      <c r="AK33" s="17"/>
      <c r="AL33" s="5"/>
      <c r="AM33" s="5"/>
      <c r="AN33" s="5"/>
      <c r="AO33" s="7"/>
      <c r="AP33" s="7"/>
      <c r="AQ33" s="7"/>
      <c r="AR33" s="7"/>
    </row>
    <row r="34" spans="1:44" ht="15.75" customHeight="1">
      <c r="A34" s="4">
        <v>2</v>
      </c>
      <c r="B34" s="17">
        <v>69</v>
      </c>
      <c r="C34" s="17">
        <v>16</v>
      </c>
      <c r="D34" s="17">
        <v>4</v>
      </c>
      <c r="E34" s="17">
        <v>8</v>
      </c>
      <c r="F34" s="7"/>
      <c r="G34" s="7"/>
      <c r="H34" s="7"/>
      <c r="J34" s="17"/>
      <c r="K34" s="5"/>
      <c r="L34" s="5"/>
      <c r="M34" s="5"/>
      <c r="N34" s="7"/>
      <c r="O34" s="7"/>
      <c r="P34" s="7"/>
      <c r="Q34" s="7"/>
      <c r="S34" s="17"/>
      <c r="T34" s="5"/>
      <c r="U34" s="5"/>
      <c r="V34" s="5"/>
      <c r="W34" s="7"/>
      <c r="X34" s="7"/>
      <c r="Y34" s="7"/>
      <c r="Z34" s="7"/>
      <c r="AA34" s="7"/>
      <c r="AB34" s="17"/>
      <c r="AC34" s="5"/>
      <c r="AD34" s="5"/>
      <c r="AE34" s="5"/>
      <c r="AF34" s="7"/>
      <c r="AG34" s="7"/>
      <c r="AH34" s="7"/>
      <c r="AI34" s="7"/>
      <c r="AK34" s="17"/>
      <c r="AL34" s="5"/>
      <c r="AM34" s="5"/>
      <c r="AN34" s="5"/>
      <c r="AO34" s="7"/>
      <c r="AP34" s="7"/>
      <c r="AQ34" s="7"/>
      <c r="AR34" s="7"/>
    </row>
    <row r="35" spans="1:44" ht="15.75" customHeight="1">
      <c r="A35" s="4">
        <v>3</v>
      </c>
      <c r="B35" s="17">
        <v>56</v>
      </c>
      <c r="C35" s="17">
        <v>15</v>
      </c>
      <c r="D35" s="17">
        <v>4</v>
      </c>
      <c r="E35" s="14">
        <v>7</v>
      </c>
      <c r="F35" s="27"/>
      <c r="G35" s="24"/>
      <c r="H35" s="7"/>
      <c r="J35" s="17"/>
      <c r="K35" s="5"/>
      <c r="L35" s="5"/>
      <c r="M35" s="5"/>
      <c r="N35" s="7"/>
      <c r="O35" s="7"/>
      <c r="P35" s="7"/>
      <c r="Q35" s="7"/>
      <c r="S35" s="17"/>
      <c r="T35" s="5"/>
      <c r="U35" s="5"/>
      <c r="V35" s="5"/>
      <c r="W35" s="7"/>
      <c r="X35" s="7"/>
      <c r="Y35" s="7"/>
      <c r="Z35" s="7"/>
      <c r="AA35" s="7"/>
      <c r="AB35" s="17"/>
      <c r="AC35" s="5"/>
      <c r="AD35" s="5"/>
      <c r="AE35" s="5"/>
      <c r="AF35" s="7"/>
      <c r="AG35" s="7"/>
      <c r="AH35" s="7"/>
      <c r="AI35" s="7"/>
      <c r="AK35" s="17"/>
      <c r="AL35" s="5"/>
      <c r="AM35" s="5"/>
      <c r="AN35" s="5"/>
      <c r="AO35" s="7"/>
      <c r="AP35" s="7"/>
      <c r="AQ35" s="7"/>
      <c r="AR35" s="7"/>
    </row>
    <row r="36" spans="1:44" ht="15.75" customHeight="1">
      <c r="A36" s="4">
        <v>4</v>
      </c>
      <c r="B36" s="17">
        <v>69.5</v>
      </c>
      <c r="C36" s="17">
        <v>16.5</v>
      </c>
      <c r="D36" s="17">
        <v>4</v>
      </c>
      <c r="E36" s="17">
        <v>8</v>
      </c>
      <c r="F36" s="27"/>
      <c r="G36" s="24"/>
      <c r="H36" s="14" t="s">
        <v>311</v>
      </c>
      <c r="J36" s="17"/>
      <c r="K36" s="5"/>
      <c r="L36" s="5"/>
      <c r="M36" s="5"/>
      <c r="N36" s="7"/>
      <c r="O36" s="7"/>
      <c r="P36" s="7"/>
      <c r="Q36" s="7"/>
      <c r="S36" s="17"/>
      <c r="T36" s="5"/>
      <c r="U36" s="5"/>
      <c r="V36" s="5"/>
      <c r="W36" s="7"/>
      <c r="X36" s="7"/>
      <c r="Y36" s="7"/>
      <c r="Z36" s="7"/>
      <c r="AA36" s="7"/>
      <c r="AB36" s="17"/>
      <c r="AC36" s="5"/>
      <c r="AD36" s="5"/>
      <c r="AE36" s="5"/>
      <c r="AF36" s="7"/>
      <c r="AG36" s="7"/>
      <c r="AH36" s="7"/>
      <c r="AI36" s="7"/>
      <c r="AK36" s="17"/>
      <c r="AL36" s="5"/>
      <c r="AM36" s="5"/>
      <c r="AN36" s="5"/>
      <c r="AO36" s="7"/>
      <c r="AP36" s="7"/>
      <c r="AQ36" s="7"/>
      <c r="AR36" s="7"/>
    </row>
    <row r="37" spans="1:44" ht="15.75" customHeight="1">
      <c r="A37" s="4">
        <v>5</v>
      </c>
      <c r="B37" s="17">
        <v>81</v>
      </c>
      <c r="C37" s="17">
        <v>18.899999999999999</v>
      </c>
      <c r="D37" s="17">
        <v>4</v>
      </c>
      <c r="E37" s="17">
        <v>8.5</v>
      </c>
      <c r="F37" s="27"/>
      <c r="G37" s="24"/>
      <c r="H37" s="14" t="s">
        <v>312</v>
      </c>
      <c r="I37" s="1" t="s">
        <v>313</v>
      </c>
      <c r="J37" s="17"/>
      <c r="K37" s="5"/>
      <c r="L37" s="5"/>
      <c r="M37" s="5"/>
      <c r="N37" s="7"/>
      <c r="O37" s="7"/>
      <c r="P37" s="7"/>
      <c r="Q37" s="7"/>
      <c r="S37" s="17"/>
      <c r="T37" s="5"/>
      <c r="U37" s="5"/>
      <c r="V37" s="5"/>
      <c r="W37" s="7"/>
      <c r="X37" s="7"/>
      <c r="Y37" s="7"/>
      <c r="Z37" s="7"/>
      <c r="AA37" s="7"/>
      <c r="AB37" s="17"/>
      <c r="AC37" s="5"/>
      <c r="AD37" s="5"/>
      <c r="AE37" s="5"/>
      <c r="AF37" s="7"/>
      <c r="AG37" s="7"/>
      <c r="AH37" s="7"/>
      <c r="AI37" s="7"/>
      <c r="AK37" s="17"/>
      <c r="AL37" s="5"/>
      <c r="AM37" s="5"/>
      <c r="AN37" s="5"/>
      <c r="AO37" s="7"/>
      <c r="AP37" s="7"/>
      <c r="AQ37" s="7"/>
      <c r="AR37" s="7"/>
    </row>
    <row r="38" spans="1:44" ht="15.75" customHeight="1">
      <c r="A38" s="4">
        <v>6</v>
      </c>
      <c r="B38" s="17">
        <v>65.5</v>
      </c>
      <c r="C38" s="17">
        <v>14.5</v>
      </c>
      <c r="D38" s="17">
        <v>4</v>
      </c>
      <c r="E38" s="17">
        <v>8</v>
      </c>
      <c r="F38" s="27"/>
      <c r="G38" s="24"/>
      <c r="H38" s="14" t="s">
        <v>314</v>
      </c>
      <c r="I38" s="1" t="s">
        <v>313</v>
      </c>
      <c r="J38" s="17"/>
      <c r="K38" s="5"/>
      <c r="L38" s="5"/>
      <c r="M38" s="5"/>
      <c r="N38" s="7"/>
      <c r="O38" s="7"/>
      <c r="P38" s="7"/>
      <c r="Q38" s="7"/>
      <c r="S38" s="17"/>
      <c r="T38" s="5"/>
      <c r="U38" s="5"/>
      <c r="V38" s="5"/>
      <c r="W38" s="7"/>
      <c r="X38" s="7"/>
      <c r="Y38" s="7"/>
      <c r="Z38" s="7"/>
      <c r="AA38" s="7"/>
      <c r="AB38" s="17"/>
      <c r="AC38" s="5"/>
      <c r="AD38" s="5"/>
      <c r="AE38" s="5"/>
      <c r="AF38" s="7"/>
      <c r="AG38" s="7"/>
      <c r="AH38" s="7"/>
      <c r="AI38" s="7"/>
      <c r="AK38" s="17"/>
      <c r="AL38" s="5"/>
      <c r="AM38" s="5"/>
      <c r="AN38" s="5"/>
      <c r="AO38" s="7"/>
      <c r="AP38" s="7"/>
      <c r="AQ38" s="7"/>
      <c r="AR38" s="7"/>
    </row>
    <row r="39" spans="1:44" ht="15.75" customHeight="1">
      <c r="A39" s="4">
        <v>7</v>
      </c>
      <c r="B39" s="17">
        <v>66</v>
      </c>
      <c r="C39" s="17">
        <v>16</v>
      </c>
      <c r="D39" s="17">
        <v>4</v>
      </c>
      <c r="E39" s="17">
        <v>8.5</v>
      </c>
      <c r="F39" s="27"/>
      <c r="G39" s="24"/>
      <c r="H39" s="7"/>
      <c r="J39" s="17"/>
      <c r="K39" s="5"/>
      <c r="L39" s="5"/>
      <c r="M39" s="5"/>
      <c r="N39" s="7"/>
      <c r="O39" s="7"/>
      <c r="P39" s="7"/>
      <c r="Q39" s="7"/>
      <c r="S39" s="17"/>
      <c r="T39" s="5"/>
      <c r="U39" s="5"/>
      <c r="V39" s="5"/>
      <c r="W39" s="7"/>
      <c r="X39" s="7"/>
      <c r="Y39" s="7"/>
      <c r="Z39" s="7"/>
      <c r="AA39" s="7"/>
      <c r="AB39" s="17"/>
      <c r="AC39" s="5"/>
      <c r="AD39" s="5"/>
      <c r="AE39" s="5"/>
      <c r="AF39" s="7"/>
      <c r="AG39" s="7"/>
      <c r="AH39" s="7"/>
      <c r="AI39" s="7"/>
      <c r="AK39" s="17"/>
      <c r="AL39" s="5"/>
      <c r="AM39" s="5"/>
      <c r="AN39" s="5"/>
      <c r="AO39" s="7"/>
      <c r="AP39" s="7"/>
      <c r="AQ39" s="7"/>
      <c r="AR39" s="7"/>
    </row>
    <row r="40" spans="1:44" ht="15.75" customHeight="1">
      <c r="A40" s="4">
        <v>8</v>
      </c>
      <c r="B40" s="17">
        <v>73</v>
      </c>
      <c r="C40" s="17">
        <v>16</v>
      </c>
      <c r="D40" s="17">
        <v>4</v>
      </c>
      <c r="E40" s="17">
        <v>8</v>
      </c>
      <c r="F40" s="27"/>
      <c r="G40" s="24"/>
      <c r="H40" s="7"/>
      <c r="J40" s="17"/>
      <c r="K40" s="5"/>
      <c r="L40" s="5"/>
      <c r="M40" s="5"/>
      <c r="N40" s="7"/>
      <c r="O40" s="7"/>
      <c r="P40" s="7"/>
      <c r="Q40" s="7"/>
      <c r="S40" s="17"/>
      <c r="T40" s="5"/>
      <c r="U40" s="5"/>
      <c r="V40" s="5"/>
      <c r="W40" s="7"/>
      <c r="X40" s="7"/>
      <c r="Y40" s="7"/>
      <c r="Z40" s="7"/>
      <c r="AA40" s="7"/>
      <c r="AB40" s="17"/>
      <c r="AC40" s="5"/>
      <c r="AD40" s="5"/>
      <c r="AE40" s="5"/>
      <c r="AF40" s="7"/>
      <c r="AG40" s="7"/>
      <c r="AH40" s="7"/>
      <c r="AI40" s="7"/>
      <c r="AK40" s="17"/>
      <c r="AL40" s="5"/>
      <c r="AM40" s="5"/>
      <c r="AN40" s="5"/>
      <c r="AO40" s="7"/>
      <c r="AP40" s="7"/>
      <c r="AQ40" s="7"/>
      <c r="AR40" s="7"/>
    </row>
    <row r="41" spans="1:44" ht="15.75" customHeight="1">
      <c r="A41" s="4">
        <v>9</v>
      </c>
      <c r="B41" s="17">
        <v>68.5</v>
      </c>
      <c r="C41" s="17">
        <v>15.5</v>
      </c>
      <c r="D41" s="17">
        <v>4</v>
      </c>
      <c r="E41" s="17">
        <v>9.5</v>
      </c>
      <c r="F41" s="27"/>
      <c r="G41" s="24"/>
      <c r="H41" s="14" t="s">
        <v>315</v>
      </c>
      <c r="I41" s="1" t="s">
        <v>316</v>
      </c>
      <c r="J41" s="17"/>
      <c r="K41" s="5"/>
      <c r="L41" s="5"/>
      <c r="M41" s="5"/>
      <c r="N41" s="7"/>
      <c r="O41" s="7"/>
      <c r="P41" s="7"/>
      <c r="Q41" s="7"/>
      <c r="S41" s="17"/>
      <c r="T41" s="5"/>
      <c r="U41" s="5"/>
      <c r="V41" s="5"/>
      <c r="W41" s="7"/>
      <c r="X41" s="7"/>
      <c r="Y41" s="7"/>
      <c r="Z41" s="7"/>
      <c r="AA41" s="7"/>
      <c r="AB41" s="17"/>
      <c r="AC41" s="5"/>
      <c r="AD41" s="5"/>
      <c r="AE41" s="5"/>
      <c r="AF41" s="7"/>
      <c r="AG41" s="7"/>
      <c r="AH41" s="7"/>
      <c r="AI41" s="7"/>
      <c r="AK41" s="17"/>
      <c r="AL41" s="5"/>
      <c r="AM41" s="5"/>
      <c r="AN41" s="5"/>
      <c r="AO41" s="7"/>
      <c r="AP41" s="7"/>
      <c r="AQ41" s="7"/>
      <c r="AR41" s="7"/>
    </row>
    <row r="42" spans="1:44" ht="15.75" customHeight="1">
      <c r="A42" s="4">
        <v>10</v>
      </c>
      <c r="B42" s="17">
        <v>62.5</v>
      </c>
      <c r="C42" s="17">
        <v>14.5</v>
      </c>
      <c r="D42" s="17">
        <v>4</v>
      </c>
      <c r="E42" s="17">
        <v>6.5</v>
      </c>
      <c r="F42" s="27"/>
      <c r="G42" s="24"/>
      <c r="H42" s="7"/>
      <c r="J42" s="17"/>
      <c r="K42" s="5"/>
      <c r="L42" s="5"/>
      <c r="M42" s="5"/>
      <c r="N42" s="7"/>
      <c r="O42" s="7"/>
      <c r="P42" s="7"/>
      <c r="Q42" s="7"/>
      <c r="S42" s="17"/>
      <c r="T42" s="5"/>
      <c r="U42" s="5"/>
      <c r="V42" s="5"/>
      <c r="W42" s="7"/>
      <c r="X42" s="7"/>
      <c r="Y42" s="7"/>
      <c r="Z42" s="7"/>
      <c r="AA42" s="7"/>
      <c r="AB42" s="17"/>
      <c r="AC42" s="5"/>
      <c r="AD42" s="5"/>
      <c r="AE42" s="5"/>
      <c r="AF42" s="7"/>
      <c r="AG42" s="7"/>
      <c r="AH42" s="7"/>
      <c r="AI42" s="7"/>
      <c r="AK42" s="17"/>
      <c r="AL42" s="5"/>
      <c r="AM42" s="5"/>
      <c r="AN42" s="5"/>
      <c r="AO42" s="7"/>
      <c r="AP42" s="7"/>
      <c r="AQ42" s="7"/>
      <c r="AR42" s="7"/>
    </row>
    <row r="43" spans="1:44" ht="15.75" customHeight="1">
      <c r="A43" s="8">
        <v>11</v>
      </c>
      <c r="B43" s="17">
        <v>75</v>
      </c>
      <c r="C43" s="17">
        <v>16</v>
      </c>
      <c r="D43" s="17">
        <v>4</v>
      </c>
      <c r="E43" s="17">
        <v>6</v>
      </c>
      <c r="F43" s="7"/>
      <c r="G43" s="7"/>
      <c r="H43" s="7"/>
      <c r="J43" s="17"/>
      <c r="K43" s="5"/>
      <c r="L43" s="5"/>
      <c r="M43" s="5"/>
      <c r="N43" s="7"/>
      <c r="O43" s="7"/>
      <c r="P43" s="7"/>
      <c r="Q43" s="7"/>
      <c r="S43" s="17"/>
      <c r="T43" s="5"/>
      <c r="U43" s="5"/>
      <c r="V43" s="5"/>
      <c r="W43" s="7"/>
      <c r="X43" s="7"/>
      <c r="Y43" s="7"/>
      <c r="Z43" s="7"/>
      <c r="AA43" s="7"/>
      <c r="AB43" s="17"/>
      <c r="AC43" s="5"/>
      <c r="AD43" s="5"/>
      <c r="AE43" s="5"/>
      <c r="AF43" s="7"/>
      <c r="AG43" s="7"/>
      <c r="AH43" s="7"/>
      <c r="AI43" s="7"/>
      <c r="AK43" s="17"/>
      <c r="AL43" s="5"/>
      <c r="AM43" s="5"/>
      <c r="AN43" s="5"/>
      <c r="AO43" s="7"/>
      <c r="AP43" s="7"/>
      <c r="AQ43" s="7"/>
      <c r="AR43" s="7"/>
    </row>
    <row r="44" spans="1:44" ht="15.75" customHeight="1">
      <c r="A44" s="8">
        <v>12</v>
      </c>
      <c r="B44" s="1">
        <v>71</v>
      </c>
      <c r="C44" s="1">
        <v>16.5</v>
      </c>
      <c r="D44" s="1">
        <v>4</v>
      </c>
      <c r="E44" s="1">
        <v>8</v>
      </c>
      <c r="F44" s="7"/>
      <c r="G44" s="7"/>
      <c r="H44" s="7"/>
      <c r="J44" s="5"/>
      <c r="K44" s="5"/>
      <c r="L44" s="5"/>
      <c r="M44" s="5"/>
      <c r="N44" s="7"/>
      <c r="O44" s="7"/>
      <c r="P44" s="7"/>
      <c r="Q44" s="7"/>
      <c r="S44" s="5"/>
      <c r="T44" s="5"/>
      <c r="U44" s="5"/>
      <c r="V44" s="5"/>
      <c r="W44" s="7"/>
      <c r="X44" s="7"/>
      <c r="Y44" s="7"/>
      <c r="Z44" s="7"/>
      <c r="AA44" s="7"/>
      <c r="AB44" s="5"/>
      <c r="AC44" s="5"/>
      <c r="AD44" s="5"/>
      <c r="AE44" s="5"/>
      <c r="AF44" s="7"/>
      <c r="AG44" s="7"/>
      <c r="AH44" s="7"/>
      <c r="AI44" s="7"/>
      <c r="AK44" s="5"/>
      <c r="AL44" s="5"/>
      <c r="AM44" s="5"/>
      <c r="AN44" s="5"/>
      <c r="AO44" s="7"/>
      <c r="AP44" s="7"/>
      <c r="AQ44" s="7"/>
      <c r="AR44" s="7"/>
    </row>
    <row r="45" spans="1:44" ht="15.75" customHeight="1">
      <c r="A45" s="8">
        <v>13</v>
      </c>
      <c r="B45" s="1">
        <v>73</v>
      </c>
      <c r="C45" s="1">
        <v>16.850000000000001</v>
      </c>
      <c r="D45" s="1">
        <v>4</v>
      </c>
      <c r="E45" s="1">
        <v>6.5</v>
      </c>
      <c r="F45" s="7"/>
      <c r="G45" s="7"/>
      <c r="H45" s="7"/>
      <c r="J45" s="5"/>
      <c r="K45" s="5"/>
      <c r="L45" s="5"/>
      <c r="M45" s="5"/>
      <c r="N45" s="7"/>
      <c r="O45" s="7"/>
      <c r="P45" s="7"/>
      <c r="Q45" s="7"/>
      <c r="S45" s="5"/>
      <c r="T45" s="5"/>
      <c r="U45" s="5"/>
      <c r="V45" s="5"/>
      <c r="W45" s="7"/>
      <c r="X45" s="7"/>
      <c r="Y45" s="7"/>
      <c r="Z45" s="7"/>
      <c r="AA45" s="7"/>
      <c r="AB45" s="5"/>
      <c r="AC45" s="5"/>
      <c r="AD45" s="5"/>
      <c r="AE45" s="5"/>
      <c r="AF45" s="7"/>
      <c r="AG45" s="7"/>
      <c r="AH45" s="7"/>
      <c r="AI45" s="7"/>
      <c r="AK45" s="5"/>
      <c r="AL45" s="5"/>
      <c r="AM45" s="5"/>
      <c r="AN45" s="5"/>
      <c r="AO45" s="7"/>
      <c r="AP45" s="7"/>
      <c r="AQ45" s="7"/>
      <c r="AR45" s="7"/>
    </row>
    <row r="46" spans="1:44" ht="15.75" customHeight="1">
      <c r="A46" s="8">
        <v>14</v>
      </c>
      <c r="B46" s="1">
        <v>56.5</v>
      </c>
      <c r="C46" s="1">
        <v>15.5</v>
      </c>
      <c r="D46" s="1">
        <v>4</v>
      </c>
      <c r="E46" s="1">
        <v>7</v>
      </c>
      <c r="F46" s="7"/>
      <c r="G46" s="7"/>
      <c r="H46" s="7"/>
      <c r="J46" s="5"/>
      <c r="K46" s="5"/>
      <c r="L46" s="5"/>
      <c r="M46" s="5"/>
      <c r="N46" s="7"/>
      <c r="O46" s="7"/>
      <c r="P46" s="7"/>
      <c r="Q46" s="7"/>
      <c r="S46" s="5"/>
      <c r="T46" s="5"/>
      <c r="U46" s="5"/>
      <c r="V46" s="5"/>
      <c r="W46" s="7"/>
      <c r="X46" s="7"/>
      <c r="Y46" s="7"/>
      <c r="Z46" s="7"/>
      <c r="AA46" s="7"/>
      <c r="AB46" s="5"/>
      <c r="AC46" s="5"/>
      <c r="AD46" s="5"/>
      <c r="AE46" s="5"/>
      <c r="AF46" s="7"/>
      <c r="AG46" s="7"/>
      <c r="AH46" s="7"/>
      <c r="AI46" s="7"/>
      <c r="AK46" s="5"/>
      <c r="AL46" s="5"/>
      <c r="AM46" s="5"/>
      <c r="AN46" s="5"/>
      <c r="AO46" s="7"/>
      <c r="AP46" s="7"/>
      <c r="AQ46" s="7"/>
      <c r="AR46" s="7"/>
    </row>
    <row r="47" spans="1:44" ht="15.75" customHeight="1">
      <c r="A47" s="8">
        <v>15</v>
      </c>
      <c r="B47" s="1">
        <v>78.5</v>
      </c>
      <c r="C47" s="1">
        <v>16</v>
      </c>
      <c r="D47" s="1">
        <v>4</v>
      </c>
      <c r="E47" s="1">
        <v>9</v>
      </c>
      <c r="F47" s="7"/>
      <c r="G47" s="7"/>
      <c r="H47" s="14" t="s">
        <v>317</v>
      </c>
      <c r="J47" s="7"/>
      <c r="K47" s="7"/>
      <c r="L47" s="7"/>
      <c r="M47" s="7"/>
      <c r="N47" s="7"/>
      <c r="O47" s="7"/>
      <c r="P47" s="7"/>
      <c r="Q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K47" s="7"/>
      <c r="AL47" s="7"/>
      <c r="AM47" s="7"/>
      <c r="AN47" s="7"/>
      <c r="AO47" s="7"/>
      <c r="AP47" s="7"/>
      <c r="AQ47" s="7"/>
      <c r="AR47" s="7"/>
    </row>
    <row r="48" spans="1:44" ht="15.75" customHeight="1">
      <c r="A48" s="8">
        <v>16</v>
      </c>
      <c r="D48" s="1">
        <v>2</v>
      </c>
      <c r="F48" s="7"/>
      <c r="G48" s="7"/>
      <c r="H48" s="14" t="s">
        <v>318</v>
      </c>
      <c r="J48" s="7"/>
      <c r="K48" s="7"/>
      <c r="L48" s="7"/>
      <c r="M48" s="7"/>
      <c r="N48" s="7"/>
      <c r="O48" s="7"/>
      <c r="P48" s="7"/>
      <c r="Q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K48" s="7"/>
      <c r="AL48" s="7"/>
      <c r="AM48" s="7"/>
      <c r="AN48" s="7"/>
      <c r="AO48" s="7"/>
      <c r="AP48" s="7"/>
      <c r="AQ48" s="7"/>
      <c r="AR48" s="7"/>
    </row>
    <row r="49" spans="1:44" ht="15.75" customHeight="1">
      <c r="A49" s="8">
        <v>17</v>
      </c>
      <c r="D49" s="1">
        <v>4</v>
      </c>
      <c r="F49" s="7"/>
      <c r="G49" s="7"/>
      <c r="H49" s="14" t="s">
        <v>319</v>
      </c>
      <c r="J49" s="14"/>
      <c r="K49" s="7"/>
      <c r="L49" s="7"/>
      <c r="M49" s="7"/>
      <c r="N49" s="7"/>
      <c r="O49" s="7"/>
      <c r="P49" s="7"/>
      <c r="Q49" s="7"/>
      <c r="S49" s="14"/>
      <c r="T49" s="7"/>
      <c r="U49" s="7"/>
      <c r="V49" s="7"/>
      <c r="W49" s="7"/>
      <c r="X49" s="7"/>
      <c r="Y49" s="7"/>
      <c r="Z49" s="7"/>
      <c r="AA49" s="7"/>
      <c r="AB49" s="14"/>
      <c r="AC49" s="7"/>
      <c r="AD49" s="7"/>
      <c r="AE49" s="7"/>
      <c r="AF49" s="7"/>
      <c r="AG49" s="7"/>
      <c r="AH49" s="7"/>
      <c r="AI49" s="7"/>
      <c r="AK49" s="14"/>
      <c r="AL49" s="7"/>
      <c r="AM49" s="7"/>
      <c r="AN49" s="7"/>
      <c r="AO49" s="7"/>
      <c r="AP49" s="7"/>
      <c r="AQ49" s="7"/>
      <c r="AR49" s="7"/>
    </row>
    <row r="50" spans="1:44" ht="15.75" customHeight="1">
      <c r="A50" s="8">
        <v>18</v>
      </c>
      <c r="D50" s="1">
        <v>4</v>
      </c>
      <c r="F50" s="7"/>
      <c r="G50" s="7"/>
      <c r="H50" s="7"/>
      <c r="J50" s="5"/>
      <c r="K50" s="5"/>
      <c r="L50" s="5"/>
      <c r="M50" s="5"/>
      <c r="N50" s="5"/>
      <c r="O50" s="7"/>
      <c r="P50" s="7"/>
      <c r="Q50" s="7"/>
      <c r="S50" s="5"/>
      <c r="T50" s="5"/>
      <c r="U50" s="5"/>
      <c r="V50" s="5"/>
      <c r="W50" s="5"/>
      <c r="X50" s="7"/>
      <c r="Y50" s="7"/>
      <c r="Z50" s="7"/>
      <c r="AA50" s="7"/>
      <c r="AB50" s="5"/>
      <c r="AC50" s="5"/>
      <c r="AD50" s="5"/>
      <c r="AE50" s="5"/>
      <c r="AF50" s="5"/>
      <c r="AG50" s="7"/>
      <c r="AH50" s="7"/>
      <c r="AI50" s="7"/>
      <c r="AK50" s="5"/>
      <c r="AL50" s="5"/>
      <c r="AM50" s="5"/>
      <c r="AN50" s="5"/>
      <c r="AO50" s="5"/>
      <c r="AP50" s="7"/>
      <c r="AQ50" s="7"/>
      <c r="AR50" s="7"/>
    </row>
    <row r="51" spans="1:44" ht="15.75" customHeight="1">
      <c r="A51" s="8">
        <v>19</v>
      </c>
      <c r="D51" s="1">
        <v>4</v>
      </c>
      <c r="F51" s="7"/>
      <c r="G51" s="7"/>
      <c r="H51" s="7"/>
      <c r="J51" s="5"/>
      <c r="K51" s="5"/>
      <c r="L51" s="5"/>
      <c r="M51" s="5"/>
      <c r="N51" s="5"/>
      <c r="O51" s="7"/>
      <c r="P51" s="7"/>
      <c r="Q51" s="7"/>
      <c r="S51" s="5"/>
      <c r="T51" s="5"/>
      <c r="U51" s="5"/>
      <c r="V51" s="5"/>
      <c r="W51" s="5"/>
      <c r="X51" s="7"/>
      <c r="Y51" s="7"/>
      <c r="Z51" s="7"/>
      <c r="AA51" s="7"/>
      <c r="AB51" s="5"/>
      <c r="AC51" s="5"/>
      <c r="AD51" s="5"/>
      <c r="AE51" s="5"/>
      <c r="AF51" s="5"/>
      <c r="AG51" s="7"/>
      <c r="AH51" s="7"/>
      <c r="AI51" s="7"/>
      <c r="AK51" s="5"/>
      <c r="AL51" s="5"/>
      <c r="AM51" s="5"/>
      <c r="AN51" s="5"/>
      <c r="AO51" s="5"/>
      <c r="AP51" s="7"/>
      <c r="AQ51" s="7"/>
      <c r="AR51" s="7"/>
    </row>
    <row r="52" spans="1:44" ht="15.75" customHeight="1">
      <c r="A52" s="8">
        <v>20</v>
      </c>
      <c r="B52" s="5"/>
      <c r="C52" s="5"/>
      <c r="D52" s="17">
        <v>4</v>
      </c>
      <c r="E52" s="7"/>
      <c r="F52" s="27"/>
      <c r="G52" s="24"/>
      <c r="H52" s="7"/>
      <c r="J52" s="5"/>
      <c r="K52" s="5"/>
      <c r="L52" s="5"/>
      <c r="M52" s="5"/>
      <c r="N52" s="7"/>
      <c r="O52" s="27"/>
      <c r="P52" s="24"/>
      <c r="Q52" s="7"/>
      <c r="S52" s="5"/>
      <c r="T52" s="5"/>
      <c r="U52" s="5"/>
      <c r="V52" s="5"/>
      <c r="W52" s="7"/>
      <c r="X52" s="27"/>
      <c r="Y52" s="24"/>
      <c r="Z52" s="7"/>
      <c r="AA52" s="7"/>
      <c r="AB52" s="5"/>
      <c r="AC52" s="5"/>
      <c r="AD52" s="5"/>
      <c r="AE52" s="5"/>
      <c r="AF52" s="7"/>
      <c r="AG52" s="27"/>
      <c r="AH52" s="24"/>
      <c r="AI52" s="7"/>
      <c r="AK52" s="5"/>
      <c r="AL52" s="5"/>
      <c r="AM52" s="5"/>
      <c r="AN52" s="5"/>
      <c r="AO52" s="7"/>
      <c r="AP52" s="27"/>
      <c r="AQ52" s="24"/>
      <c r="AR52" s="7"/>
    </row>
    <row r="53" spans="1:44" ht="15.75" customHeight="1">
      <c r="A53" s="8">
        <v>21</v>
      </c>
      <c r="B53" s="5"/>
      <c r="C53" s="5"/>
      <c r="D53" s="17">
        <v>4</v>
      </c>
      <c r="E53" s="5"/>
      <c r="F53" s="27"/>
      <c r="G53" s="24"/>
      <c r="H53" s="7"/>
      <c r="J53" s="5"/>
      <c r="K53" s="5"/>
      <c r="L53" s="5"/>
      <c r="M53" s="5"/>
      <c r="N53" s="5"/>
      <c r="O53" s="27"/>
      <c r="P53" s="24"/>
      <c r="Q53" s="7"/>
      <c r="S53" s="5"/>
      <c r="T53" s="5"/>
      <c r="U53" s="5"/>
      <c r="V53" s="5"/>
      <c r="W53" s="5"/>
      <c r="X53" s="27"/>
      <c r="Y53" s="24"/>
      <c r="Z53" s="7"/>
      <c r="AA53" s="7"/>
      <c r="AB53" s="5"/>
      <c r="AC53" s="5"/>
      <c r="AD53" s="5"/>
      <c r="AE53" s="5"/>
      <c r="AF53" s="5"/>
      <c r="AG53" s="27"/>
      <c r="AH53" s="24"/>
      <c r="AI53" s="7"/>
      <c r="AK53" s="5"/>
      <c r="AL53" s="5"/>
      <c r="AM53" s="5"/>
      <c r="AN53" s="5"/>
      <c r="AO53" s="5"/>
      <c r="AP53" s="27"/>
      <c r="AQ53" s="24"/>
      <c r="AR53" s="7"/>
    </row>
    <row r="54" spans="1:44" ht="14">
      <c r="A54" s="8">
        <v>22</v>
      </c>
      <c r="B54" s="5"/>
      <c r="C54" s="5"/>
      <c r="D54" s="17">
        <v>4</v>
      </c>
      <c r="E54" s="5"/>
      <c r="F54" s="27"/>
      <c r="G54" s="24"/>
      <c r="H54" s="7"/>
      <c r="J54" s="5"/>
      <c r="K54" s="5"/>
      <c r="L54" s="5"/>
      <c r="M54" s="5"/>
      <c r="N54" s="5"/>
      <c r="O54" s="27"/>
      <c r="P54" s="24"/>
      <c r="Q54" s="7"/>
      <c r="S54" s="5"/>
      <c r="T54" s="5"/>
      <c r="U54" s="5"/>
      <c r="V54" s="5"/>
      <c r="W54" s="5"/>
      <c r="X54" s="27"/>
      <c r="Y54" s="24"/>
      <c r="Z54" s="7"/>
      <c r="AA54" s="7"/>
      <c r="AB54" s="5"/>
      <c r="AC54" s="5"/>
      <c r="AD54" s="5"/>
      <c r="AE54" s="5"/>
      <c r="AF54" s="5"/>
      <c r="AG54" s="27"/>
      <c r="AH54" s="24"/>
      <c r="AI54" s="7"/>
      <c r="AK54" s="5"/>
      <c r="AL54" s="5"/>
      <c r="AM54" s="5"/>
      <c r="AN54" s="5"/>
      <c r="AO54" s="5"/>
      <c r="AP54" s="27"/>
      <c r="AQ54" s="24"/>
      <c r="AR54" s="7"/>
    </row>
    <row r="55" spans="1:44" ht="14">
      <c r="A55" s="8">
        <v>23</v>
      </c>
      <c r="B55" s="5"/>
      <c r="C55" s="5"/>
      <c r="D55" s="17">
        <v>4</v>
      </c>
      <c r="E55" s="5"/>
      <c r="F55" s="27"/>
      <c r="G55" s="24"/>
      <c r="H55" s="7"/>
      <c r="J55" s="5"/>
      <c r="K55" s="5"/>
      <c r="L55" s="5"/>
      <c r="M55" s="5"/>
      <c r="N55" s="5"/>
      <c r="O55" s="27"/>
      <c r="P55" s="24"/>
      <c r="Q55" s="7"/>
      <c r="S55" s="5"/>
      <c r="T55" s="5"/>
      <c r="U55" s="5"/>
      <c r="V55" s="5"/>
      <c r="W55" s="5"/>
      <c r="X55" s="27"/>
      <c r="Y55" s="24"/>
      <c r="Z55" s="7"/>
      <c r="AA55" s="7"/>
      <c r="AB55" s="5"/>
      <c r="AC55" s="5"/>
      <c r="AD55" s="5"/>
      <c r="AE55" s="5"/>
      <c r="AF55" s="5"/>
      <c r="AG55" s="27"/>
      <c r="AH55" s="24"/>
      <c r="AI55" s="7"/>
      <c r="AK55" s="5"/>
      <c r="AL55" s="5"/>
      <c r="AM55" s="5"/>
      <c r="AN55" s="5"/>
      <c r="AO55" s="5"/>
      <c r="AP55" s="27"/>
      <c r="AQ55" s="24"/>
      <c r="AR55" s="7"/>
    </row>
    <row r="56" spans="1:44" ht="14">
      <c r="A56" s="8">
        <v>24</v>
      </c>
      <c r="B56" s="5"/>
      <c r="C56" s="5"/>
      <c r="D56" s="17">
        <v>4</v>
      </c>
      <c r="E56" s="5"/>
      <c r="F56" s="27"/>
      <c r="G56" s="24"/>
      <c r="H56" s="7"/>
      <c r="J56" s="5"/>
      <c r="K56" s="5"/>
      <c r="L56" s="5"/>
      <c r="M56" s="5"/>
      <c r="N56" s="5"/>
      <c r="O56" s="27"/>
      <c r="P56" s="24"/>
      <c r="Q56" s="7"/>
      <c r="S56" s="5"/>
      <c r="T56" s="5"/>
      <c r="U56" s="5"/>
      <c r="V56" s="5"/>
      <c r="W56" s="5"/>
      <c r="X56" s="27"/>
      <c r="Y56" s="24"/>
      <c r="Z56" s="7"/>
      <c r="AA56" s="7"/>
      <c r="AB56" s="5"/>
      <c r="AC56" s="5"/>
      <c r="AD56" s="5"/>
      <c r="AE56" s="5"/>
      <c r="AF56" s="5"/>
      <c r="AG56" s="27"/>
      <c r="AH56" s="24"/>
      <c r="AI56" s="7"/>
      <c r="AK56" s="5"/>
      <c r="AL56" s="5"/>
      <c r="AM56" s="5"/>
      <c r="AN56" s="5"/>
      <c r="AO56" s="5"/>
      <c r="AP56" s="27"/>
      <c r="AQ56" s="24"/>
      <c r="AR56" s="7"/>
    </row>
    <row r="57" spans="1:44" ht="14">
      <c r="A57" s="8">
        <v>25</v>
      </c>
      <c r="B57" s="5"/>
      <c r="C57" s="5"/>
      <c r="D57" s="17">
        <v>4</v>
      </c>
      <c r="E57" s="5"/>
      <c r="F57" s="7"/>
      <c r="G57" s="7"/>
      <c r="H57" s="7"/>
      <c r="J57" s="5"/>
      <c r="K57" s="5"/>
      <c r="L57" s="5"/>
      <c r="M57" s="5"/>
      <c r="N57" s="5"/>
      <c r="O57" s="7"/>
      <c r="P57" s="7"/>
      <c r="Q57" s="7"/>
      <c r="S57" s="5"/>
      <c r="T57" s="5"/>
      <c r="U57" s="5"/>
      <c r="V57" s="5"/>
      <c r="W57" s="5"/>
      <c r="X57" s="7"/>
      <c r="Y57" s="7"/>
      <c r="Z57" s="7"/>
      <c r="AA57" s="7"/>
      <c r="AB57" s="5"/>
      <c r="AC57" s="5"/>
      <c r="AD57" s="5"/>
      <c r="AE57" s="5"/>
      <c r="AF57" s="5"/>
      <c r="AG57" s="7"/>
      <c r="AH57" s="7"/>
      <c r="AI57" s="7"/>
      <c r="AK57" s="5"/>
      <c r="AL57" s="5"/>
      <c r="AM57" s="5"/>
      <c r="AN57" s="5"/>
      <c r="AO57" s="5"/>
      <c r="AP57" s="7"/>
      <c r="AQ57" s="7"/>
      <c r="AR57" s="7"/>
    </row>
    <row r="58" spans="1:44" ht="14">
      <c r="A58" s="4" t="s">
        <v>10</v>
      </c>
      <c r="B58" s="9">
        <f t="shared" ref="B58:C58" si="4">AVERAGE(B33:B57)</f>
        <v>68.533333333333331</v>
      </c>
      <c r="C58" s="9">
        <f t="shared" si="4"/>
        <v>16.116666666666667</v>
      </c>
      <c r="D58" s="17" t="s">
        <v>18</v>
      </c>
      <c r="E58" s="7"/>
      <c r="F58" s="27"/>
      <c r="G58" s="24"/>
      <c r="H58" s="7"/>
      <c r="J58" s="5"/>
      <c r="K58" s="5"/>
      <c r="L58" s="5"/>
      <c r="M58" s="5"/>
      <c r="N58" s="5"/>
      <c r="O58" s="27"/>
      <c r="P58" s="24"/>
      <c r="Q58" s="7"/>
      <c r="S58" s="5"/>
      <c r="T58" s="5"/>
      <c r="U58" s="5"/>
      <c r="V58" s="5"/>
      <c r="W58" s="5"/>
      <c r="X58" s="27"/>
      <c r="Y58" s="24"/>
      <c r="Z58" s="7"/>
      <c r="AA58" s="7"/>
      <c r="AB58" s="5"/>
      <c r="AC58" s="5"/>
      <c r="AD58" s="5"/>
      <c r="AE58" s="5"/>
      <c r="AF58" s="5"/>
      <c r="AG58" s="27"/>
      <c r="AH58" s="24"/>
      <c r="AI58" s="7"/>
      <c r="AK58" s="5"/>
      <c r="AL58" s="5"/>
      <c r="AM58" s="5"/>
      <c r="AN58" s="5"/>
      <c r="AO58" s="5"/>
      <c r="AP58" s="27"/>
      <c r="AQ58" s="24"/>
      <c r="AR58" s="7"/>
    </row>
    <row r="59" spans="1:44" ht="14">
      <c r="A59" s="4" t="s">
        <v>11</v>
      </c>
      <c r="B59" s="5">
        <f t="shared" ref="B59:D59" si="5">MIN(B33:B57)</f>
        <v>56</v>
      </c>
      <c r="C59" s="5">
        <f t="shared" si="5"/>
        <v>14.5</v>
      </c>
      <c r="D59" s="5">
        <f t="shared" si="5"/>
        <v>2</v>
      </c>
      <c r="E59" s="7"/>
      <c r="F59" s="27"/>
      <c r="G59" s="24"/>
      <c r="H59" s="7"/>
      <c r="J59" s="5"/>
      <c r="K59" s="5"/>
      <c r="L59" s="5"/>
      <c r="M59" s="5"/>
      <c r="N59" s="5"/>
      <c r="O59" s="27"/>
      <c r="P59" s="24"/>
      <c r="Q59" s="7"/>
      <c r="S59" s="5"/>
      <c r="T59" s="5"/>
      <c r="U59" s="5"/>
      <c r="V59" s="5"/>
      <c r="W59" s="5"/>
      <c r="X59" s="27"/>
      <c r="Y59" s="24"/>
      <c r="Z59" s="7"/>
      <c r="AA59" s="7"/>
      <c r="AB59" s="5"/>
      <c r="AC59" s="5"/>
      <c r="AD59" s="5"/>
      <c r="AE59" s="5"/>
      <c r="AF59" s="5"/>
      <c r="AG59" s="27"/>
      <c r="AH59" s="24"/>
      <c r="AI59" s="7"/>
      <c r="AK59" s="5"/>
      <c r="AL59" s="5"/>
      <c r="AM59" s="5"/>
      <c r="AN59" s="5"/>
      <c r="AO59" s="5"/>
      <c r="AP59" s="27"/>
      <c r="AQ59" s="24"/>
      <c r="AR59" s="7"/>
    </row>
    <row r="60" spans="1:44" ht="14">
      <c r="A60" s="4" t="s">
        <v>12</v>
      </c>
      <c r="B60" s="5">
        <f t="shared" ref="B60:D60" si="6">MAX(B34:B58)</f>
        <v>81</v>
      </c>
      <c r="C60" s="5">
        <f t="shared" si="6"/>
        <v>18.899999999999999</v>
      </c>
      <c r="D60" s="5">
        <f t="shared" si="6"/>
        <v>4</v>
      </c>
      <c r="E60" s="7"/>
      <c r="F60" s="27"/>
      <c r="G60" s="24"/>
      <c r="H60" s="7"/>
      <c r="J60" s="5"/>
      <c r="K60" s="5"/>
      <c r="L60" s="5"/>
      <c r="M60" s="5"/>
      <c r="N60" s="5"/>
      <c r="O60" s="27"/>
      <c r="P60" s="24"/>
      <c r="Q60" s="7"/>
      <c r="S60" s="5"/>
      <c r="T60" s="5"/>
      <c r="U60" s="5"/>
      <c r="V60" s="5"/>
      <c r="W60" s="5"/>
      <c r="X60" s="27"/>
      <c r="Y60" s="24"/>
      <c r="Z60" s="7"/>
      <c r="AA60" s="7"/>
      <c r="AB60" s="5"/>
      <c r="AC60" s="5"/>
      <c r="AD60" s="5"/>
      <c r="AE60" s="5"/>
      <c r="AF60" s="5"/>
      <c r="AG60" s="27"/>
      <c r="AH60" s="24"/>
      <c r="AI60" s="7"/>
      <c r="AK60" s="5"/>
      <c r="AL60" s="5"/>
      <c r="AM60" s="5"/>
      <c r="AN60" s="5"/>
      <c r="AO60" s="5"/>
      <c r="AP60" s="27"/>
      <c r="AQ60" s="24"/>
      <c r="AR60" s="7"/>
    </row>
    <row r="61" spans="1:44" ht="14">
      <c r="A61" s="2"/>
      <c r="B61" s="7"/>
      <c r="C61" s="7"/>
      <c r="D61" s="7"/>
      <c r="E61" s="7"/>
      <c r="F61" s="7"/>
      <c r="G61" s="7"/>
      <c r="H61" s="7"/>
      <c r="J61" s="17"/>
      <c r="K61" s="5"/>
      <c r="L61" s="5"/>
      <c r="M61" s="5"/>
      <c r="N61" s="7"/>
      <c r="O61" s="7"/>
      <c r="P61" s="7"/>
      <c r="Q61" s="7"/>
      <c r="S61" s="17"/>
      <c r="T61" s="5"/>
      <c r="U61" s="5"/>
      <c r="V61" s="5"/>
      <c r="W61" s="7"/>
      <c r="X61" s="7"/>
      <c r="Y61" s="7"/>
      <c r="Z61" s="7"/>
      <c r="AA61" s="7"/>
      <c r="AB61" s="17"/>
      <c r="AC61" s="5"/>
      <c r="AD61" s="5"/>
      <c r="AE61" s="5"/>
      <c r="AF61" s="7"/>
      <c r="AG61" s="7"/>
      <c r="AH61" s="7"/>
      <c r="AI61" s="7"/>
      <c r="AK61" s="17"/>
      <c r="AL61" s="5"/>
      <c r="AM61" s="5"/>
      <c r="AN61" s="5"/>
      <c r="AO61" s="7"/>
      <c r="AP61" s="7"/>
      <c r="AQ61" s="7"/>
      <c r="AR61" s="7"/>
    </row>
    <row r="62" spans="1:44" ht="14">
      <c r="A62" s="2" t="s">
        <v>19</v>
      </c>
      <c r="B62" s="7" t="s">
        <v>20</v>
      </c>
      <c r="C62" s="7" t="s">
        <v>21</v>
      </c>
      <c r="D62" s="23" t="s">
        <v>22</v>
      </c>
      <c r="E62" s="24"/>
      <c r="F62" s="14" t="s">
        <v>320</v>
      </c>
      <c r="G62" s="14"/>
      <c r="H62" s="14"/>
      <c r="J62" s="17"/>
      <c r="K62" s="5"/>
      <c r="L62" s="5"/>
      <c r="M62" s="5"/>
      <c r="N62" s="7"/>
      <c r="O62" s="7"/>
      <c r="P62" s="7"/>
      <c r="Q62" s="7"/>
      <c r="S62" s="17"/>
      <c r="T62" s="5"/>
      <c r="U62" s="5"/>
      <c r="V62" s="5"/>
      <c r="W62" s="7"/>
      <c r="X62" s="7"/>
      <c r="Y62" s="7"/>
      <c r="Z62" s="7"/>
      <c r="AA62" s="7"/>
      <c r="AB62" s="17"/>
      <c r="AC62" s="5"/>
      <c r="AD62" s="5"/>
      <c r="AE62" s="5"/>
      <c r="AF62" s="7"/>
      <c r="AG62" s="7"/>
      <c r="AH62" s="7"/>
      <c r="AI62" s="7"/>
      <c r="AK62" s="17"/>
      <c r="AL62" s="5"/>
      <c r="AM62" s="5"/>
      <c r="AN62" s="5"/>
      <c r="AO62" s="7"/>
      <c r="AP62" s="7"/>
      <c r="AQ62" s="7"/>
      <c r="AR62" s="7"/>
    </row>
    <row r="63" spans="1:44" ht="14">
      <c r="A63" s="2"/>
      <c r="B63" s="14" t="s">
        <v>321</v>
      </c>
      <c r="C63" s="14" t="s">
        <v>322</v>
      </c>
      <c r="D63" s="18" t="s">
        <v>323</v>
      </c>
      <c r="E63" s="7"/>
      <c r="F63" s="7"/>
      <c r="G63" s="7"/>
      <c r="H63" s="7"/>
      <c r="J63" s="17"/>
      <c r="K63" s="5"/>
      <c r="L63" s="5"/>
      <c r="M63" s="5"/>
      <c r="N63" s="7"/>
      <c r="O63" s="7"/>
      <c r="P63" s="7"/>
      <c r="Q63" s="7"/>
      <c r="S63" s="17"/>
      <c r="T63" s="5"/>
      <c r="U63" s="5"/>
      <c r="V63" s="5"/>
      <c r="W63" s="7"/>
      <c r="X63" s="7"/>
      <c r="Y63" s="7"/>
      <c r="Z63" s="7"/>
      <c r="AA63" s="7"/>
      <c r="AB63" s="17"/>
      <c r="AC63" s="5"/>
      <c r="AD63" s="5"/>
      <c r="AE63" s="5"/>
      <c r="AF63" s="7"/>
      <c r="AG63" s="7"/>
      <c r="AH63" s="7"/>
      <c r="AI63" s="7"/>
      <c r="AK63" s="17"/>
      <c r="AL63" s="5"/>
      <c r="AM63" s="5"/>
      <c r="AN63" s="5"/>
      <c r="AO63" s="7"/>
      <c r="AP63" s="7"/>
      <c r="AQ63" s="7"/>
      <c r="AR63" s="7"/>
    </row>
    <row r="64" spans="1:44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  <c r="J64" s="17"/>
      <c r="K64" s="5"/>
      <c r="L64" s="5"/>
      <c r="M64" s="5"/>
      <c r="N64" s="7"/>
      <c r="O64" s="7"/>
      <c r="P64" s="7"/>
      <c r="Q64" s="7"/>
      <c r="S64" s="17"/>
      <c r="T64" s="5"/>
      <c r="U64" s="5"/>
      <c r="V64" s="5"/>
      <c r="W64" s="7"/>
      <c r="X64" s="7"/>
      <c r="Y64" s="7"/>
      <c r="Z64" s="7"/>
      <c r="AA64" s="7"/>
      <c r="AB64" s="17"/>
      <c r="AC64" s="5"/>
      <c r="AD64" s="5"/>
      <c r="AE64" s="5"/>
      <c r="AF64" s="7"/>
      <c r="AG64" s="7"/>
      <c r="AH64" s="7"/>
      <c r="AI64" s="7"/>
      <c r="AK64" s="17"/>
      <c r="AL64" s="5"/>
      <c r="AM64" s="5"/>
      <c r="AN64" s="5"/>
      <c r="AO64" s="7"/>
      <c r="AP64" s="7"/>
      <c r="AQ64" s="7"/>
      <c r="AR64" s="7"/>
    </row>
    <row r="65" spans="1:44" ht="14">
      <c r="A65" s="2"/>
      <c r="B65" s="14">
        <v>6.5</v>
      </c>
      <c r="C65" s="14">
        <v>37</v>
      </c>
      <c r="D65" s="18">
        <v>32</v>
      </c>
      <c r="E65" s="7"/>
      <c r="F65" s="7"/>
      <c r="G65" s="7"/>
      <c r="H65" s="7"/>
      <c r="J65" s="17"/>
      <c r="K65" s="5"/>
      <c r="L65" s="5"/>
      <c r="M65" s="5"/>
      <c r="N65" s="7"/>
      <c r="O65" s="7"/>
      <c r="P65" s="7"/>
      <c r="Q65" s="7"/>
      <c r="S65" s="17"/>
      <c r="T65" s="5"/>
      <c r="U65" s="5"/>
      <c r="V65" s="5"/>
      <c r="W65" s="7"/>
      <c r="X65" s="7"/>
      <c r="Y65" s="7"/>
      <c r="Z65" s="7"/>
      <c r="AA65" s="7"/>
      <c r="AB65" s="17"/>
      <c r="AC65" s="5"/>
      <c r="AD65" s="5"/>
      <c r="AE65" s="5"/>
      <c r="AF65" s="7"/>
      <c r="AG65" s="7"/>
      <c r="AH65" s="7"/>
      <c r="AI65" s="7"/>
      <c r="AK65" s="17"/>
      <c r="AL65" s="5"/>
      <c r="AM65" s="5"/>
      <c r="AN65" s="5"/>
      <c r="AO65" s="7"/>
      <c r="AP65" s="7"/>
      <c r="AQ65" s="7"/>
      <c r="AR65" s="7"/>
    </row>
    <row r="66" spans="1:44" ht="14">
      <c r="A66" s="2"/>
      <c r="B66" s="14">
        <v>7</v>
      </c>
      <c r="C66" s="14">
        <v>57</v>
      </c>
      <c r="D66" s="18">
        <v>37.5</v>
      </c>
      <c r="E66" s="7"/>
      <c r="F66" s="7"/>
      <c r="G66" s="7"/>
      <c r="H66" s="7"/>
      <c r="J66" s="17"/>
      <c r="K66" s="5"/>
      <c r="L66" s="5"/>
      <c r="M66" s="5"/>
      <c r="N66" s="7"/>
      <c r="O66" s="7"/>
      <c r="P66" s="7"/>
      <c r="Q66" s="7"/>
      <c r="S66" s="17"/>
      <c r="T66" s="5"/>
      <c r="U66" s="5"/>
      <c r="V66" s="5"/>
      <c r="W66" s="7"/>
      <c r="X66" s="7"/>
      <c r="Y66" s="7"/>
      <c r="Z66" s="7"/>
      <c r="AA66" s="7"/>
      <c r="AB66" s="17"/>
      <c r="AC66" s="5"/>
      <c r="AD66" s="5"/>
      <c r="AE66" s="5"/>
      <c r="AF66" s="7"/>
      <c r="AG66" s="7"/>
      <c r="AH66" s="7"/>
      <c r="AI66" s="7"/>
      <c r="AK66" s="17"/>
      <c r="AL66" s="5"/>
      <c r="AM66" s="5"/>
      <c r="AN66" s="5"/>
      <c r="AO66" s="7"/>
      <c r="AP66" s="7"/>
      <c r="AQ66" s="7"/>
      <c r="AR66" s="7"/>
    </row>
    <row r="67" spans="1:44" ht="14">
      <c r="A67" s="2"/>
      <c r="B67" s="14">
        <v>10</v>
      </c>
      <c r="C67" s="14">
        <v>47</v>
      </c>
      <c r="D67" s="18">
        <v>44.5</v>
      </c>
      <c r="E67" s="7"/>
      <c r="F67" s="7"/>
      <c r="G67" s="7"/>
      <c r="H67" s="7"/>
      <c r="J67" s="17"/>
      <c r="K67" s="5"/>
      <c r="L67" s="5"/>
      <c r="M67" s="5"/>
      <c r="N67" s="7"/>
      <c r="O67" s="7"/>
      <c r="P67" s="7"/>
      <c r="Q67" s="7"/>
      <c r="S67" s="17"/>
      <c r="T67" s="5"/>
      <c r="U67" s="5"/>
      <c r="V67" s="5"/>
      <c r="W67" s="7"/>
      <c r="X67" s="7"/>
      <c r="Y67" s="7"/>
      <c r="Z67" s="7"/>
      <c r="AA67" s="7"/>
      <c r="AB67" s="17"/>
      <c r="AC67" s="5"/>
      <c r="AD67" s="5"/>
      <c r="AE67" s="5"/>
      <c r="AF67" s="7"/>
      <c r="AG67" s="7"/>
      <c r="AH67" s="7"/>
      <c r="AI67" s="7"/>
      <c r="AK67" s="17"/>
      <c r="AL67" s="5"/>
      <c r="AM67" s="5"/>
      <c r="AN67" s="5"/>
      <c r="AO67" s="7"/>
      <c r="AP67" s="7"/>
      <c r="AQ67" s="7"/>
      <c r="AR67" s="7"/>
    </row>
    <row r="68" spans="1:44" ht="14">
      <c r="A68" s="2"/>
      <c r="B68" s="14">
        <v>6.5</v>
      </c>
      <c r="C68" s="14">
        <v>49</v>
      </c>
      <c r="D68" s="18">
        <v>33.5</v>
      </c>
      <c r="E68" s="7"/>
      <c r="F68" s="7"/>
      <c r="G68" s="7"/>
      <c r="H68" s="7"/>
      <c r="J68" s="17"/>
      <c r="K68" s="5"/>
      <c r="L68" s="5"/>
      <c r="M68" s="5"/>
      <c r="N68" s="7"/>
      <c r="O68" s="7"/>
      <c r="P68" s="7"/>
      <c r="Q68" s="7"/>
      <c r="S68" s="17"/>
      <c r="T68" s="5"/>
      <c r="U68" s="5"/>
      <c r="V68" s="5"/>
      <c r="W68" s="7"/>
      <c r="X68" s="7"/>
      <c r="Y68" s="7"/>
      <c r="Z68" s="7"/>
      <c r="AA68" s="7"/>
      <c r="AB68" s="17"/>
      <c r="AC68" s="5"/>
      <c r="AD68" s="5"/>
      <c r="AE68" s="5"/>
      <c r="AF68" s="7"/>
      <c r="AG68" s="7"/>
      <c r="AH68" s="7"/>
      <c r="AI68" s="7"/>
      <c r="AK68" s="17"/>
      <c r="AL68" s="5"/>
      <c r="AM68" s="5"/>
      <c r="AN68" s="5"/>
      <c r="AO68" s="7"/>
      <c r="AP68" s="7"/>
      <c r="AQ68" s="7"/>
      <c r="AR68" s="7"/>
    </row>
    <row r="69" spans="1:44" ht="14">
      <c r="A69" s="2"/>
      <c r="B69" s="14">
        <v>8</v>
      </c>
      <c r="C69" s="14">
        <v>38.5</v>
      </c>
      <c r="D69" s="18">
        <v>37.5</v>
      </c>
      <c r="E69" s="7"/>
      <c r="F69" s="7"/>
      <c r="G69" s="7"/>
      <c r="H69" s="7"/>
      <c r="J69" s="17"/>
      <c r="K69" s="5"/>
      <c r="L69" s="5"/>
      <c r="M69" s="5"/>
      <c r="N69" s="7"/>
      <c r="O69" s="7"/>
      <c r="P69" s="7"/>
      <c r="Q69" s="7"/>
      <c r="S69" s="17"/>
      <c r="T69" s="5"/>
      <c r="U69" s="5"/>
      <c r="V69" s="5"/>
      <c r="W69" s="7"/>
      <c r="X69" s="7"/>
      <c r="Y69" s="7"/>
      <c r="Z69" s="7"/>
      <c r="AA69" s="7"/>
      <c r="AB69" s="17"/>
      <c r="AC69" s="5"/>
      <c r="AD69" s="5"/>
      <c r="AE69" s="5"/>
      <c r="AF69" s="7"/>
      <c r="AG69" s="7"/>
      <c r="AH69" s="7"/>
      <c r="AI69" s="7"/>
      <c r="AK69" s="17"/>
      <c r="AL69" s="5"/>
      <c r="AM69" s="5"/>
      <c r="AN69" s="5"/>
      <c r="AO69" s="7"/>
      <c r="AP69" s="7"/>
      <c r="AQ69" s="7"/>
      <c r="AR69" s="7"/>
    </row>
    <row r="70" spans="1:44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  <c r="J70" s="17"/>
      <c r="K70" s="5"/>
      <c r="L70" s="5"/>
      <c r="M70" s="5"/>
      <c r="N70" s="7"/>
      <c r="O70" s="7"/>
      <c r="P70" s="7"/>
      <c r="Q70" s="7"/>
      <c r="S70" s="17"/>
      <c r="T70" s="5"/>
      <c r="U70" s="5"/>
      <c r="V70" s="5"/>
      <c r="W70" s="7"/>
      <c r="X70" s="7"/>
      <c r="Y70" s="7"/>
      <c r="Z70" s="7"/>
      <c r="AA70" s="7"/>
      <c r="AB70" s="17"/>
      <c r="AC70" s="5"/>
      <c r="AD70" s="5"/>
      <c r="AE70" s="5"/>
      <c r="AF70" s="7"/>
      <c r="AG70" s="7"/>
      <c r="AH70" s="7"/>
      <c r="AI70" s="7"/>
      <c r="AK70" s="17"/>
      <c r="AL70" s="5"/>
      <c r="AM70" s="5"/>
      <c r="AN70" s="5"/>
      <c r="AO70" s="7"/>
      <c r="AP70" s="7"/>
      <c r="AQ70" s="7"/>
      <c r="AR70" s="7"/>
    </row>
    <row r="71" spans="1:44" ht="14">
      <c r="A71" s="2"/>
      <c r="B71" s="14" t="s">
        <v>108</v>
      </c>
      <c r="C71" s="14" t="s">
        <v>311</v>
      </c>
      <c r="D71" s="10"/>
      <c r="E71" s="7"/>
      <c r="F71" s="7"/>
      <c r="G71" s="7"/>
      <c r="H71" s="7"/>
      <c r="J71" s="17"/>
      <c r="K71" s="5"/>
      <c r="L71" s="5"/>
      <c r="M71" s="5"/>
      <c r="N71" s="7"/>
      <c r="O71" s="7"/>
      <c r="P71" s="7"/>
      <c r="Q71" s="7"/>
      <c r="S71" s="17"/>
      <c r="T71" s="5"/>
      <c r="U71" s="5"/>
      <c r="V71" s="5"/>
      <c r="W71" s="7"/>
      <c r="X71" s="7"/>
      <c r="Y71" s="7"/>
      <c r="Z71" s="7"/>
      <c r="AA71" s="7"/>
      <c r="AB71" s="17"/>
      <c r="AC71" s="5"/>
      <c r="AD71" s="5"/>
      <c r="AE71" s="5"/>
      <c r="AF71" s="7"/>
      <c r="AG71" s="7"/>
      <c r="AH71" s="7"/>
      <c r="AI71" s="7"/>
      <c r="AK71" s="17"/>
      <c r="AL71" s="5"/>
      <c r="AM71" s="5"/>
      <c r="AN71" s="5"/>
      <c r="AO71" s="7"/>
      <c r="AP71" s="7"/>
      <c r="AQ71" s="7"/>
      <c r="AR71" s="7"/>
    </row>
    <row r="72" spans="1:44" ht="14">
      <c r="A72" s="2"/>
      <c r="B72" s="5"/>
      <c r="C72" s="5"/>
      <c r="D72" s="5"/>
      <c r="E72" s="7"/>
      <c r="F72" s="7"/>
      <c r="G72" s="7"/>
      <c r="H72" s="7"/>
      <c r="J72" s="17"/>
      <c r="K72" s="5"/>
      <c r="L72" s="5"/>
      <c r="M72" s="5"/>
      <c r="N72" s="7"/>
      <c r="O72" s="7"/>
      <c r="P72" s="7"/>
      <c r="Q72" s="7"/>
      <c r="S72" s="17"/>
      <c r="T72" s="5"/>
      <c r="U72" s="5"/>
      <c r="V72" s="5"/>
      <c r="W72" s="7"/>
      <c r="X72" s="7"/>
      <c r="Y72" s="7"/>
      <c r="Z72" s="7"/>
      <c r="AA72" s="7"/>
      <c r="AB72" s="17"/>
      <c r="AC72" s="5"/>
      <c r="AD72" s="5"/>
      <c r="AE72" s="5"/>
      <c r="AF72" s="7"/>
      <c r="AG72" s="7"/>
      <c r="AH72" s="7"/>
      <c r="AI72" s="7"/>
      <c r="AK72" s="17"/>
      <c r="AL72" s="5"/>
      <c r="AM72" s="5"/>
      <c r="AN72" s="5"/>
      <c r="AO72" s="7"/>
      <c r="AP72" s="7"/>
      <c r="AQ72" s="7"/>
      <c r="AR72" s="7"/>
    </row>
    <row r="73" spans="1:44" ht="14">
      <c r="A73" s="15" t="s">
        <v>251</v>
      </c>
      <c r="B73" s="5"/>
      <c r="C73" s="17" t="s">
        <v>324</v>
      </c>
      <c r="D73" s="5"/>
      <c r="E73" s="7"/>
      <c r="F73" s="7"/>
      <c r="G73" s="7"/>
      <c r="H73" s="7"/>
      <c r="J73" s="17"/>
      <c r="K73" s="5"/>
      <c r="L73" s="5"/>
      <c r="M73" s="5"/>
      <c r="N73" s="7"/>
      <c r="O73" s="7"/>
      <c r="P73" s="7"/>
      <c r="Q73" s="7"/>
      <c r="S73" s="17"/>
      <c r="T73" s="5"/>
      <c r="U73" s="5"/>
      <c r="V73" s="5"/>
      <c r="W73" s="7"/>
      <c r="X73" s="7"/>
      <c r="Y73" s="7"/>
      <c r="Z73" s="7"/>
      <c r="AA73" s="7"/>
      <c r="AB73" s="17"/>
      <c r="AC73" s="5"/>
      <c r="AD73" s="5"/>
      <c r="AE73" s="5"/>
      <c r="AF73" s="7"/>
      <c r="AG73" s="7"/>
      <c r="AH73" s="7"/>
      <c r="AI73" s="7"/>
      <c r="AK73" s="17"/>
      <c r="AL73" s="5"/>
      <c r="AM73" s="5"/>
      <c r="AN73" s="5"/>
      <c r="AO73" s="7"/>
      <c r="AP73" s="7"/>
      <c r="AQ73" s="7"/>
      <c r="AR73" s="7"/>
    </row>
    <row r="74" spans="1:44" ht="14">
      <c r="A74" s="2"/>
      <c r="B74" s="5"/>
      <c r="C74" s="5"/>
      <c r="D74" s="5"/>
      <c r="E74" s="7"/>
      <c r="F74" s="7"/>
      <c r="G74" s="7"/>
      <c r="H74" s="7"/>
      <c r="J74" s="17"/>
      <c r="K74" s="5"/>
      <c r="L74" s="5"/>
      <c r="M74" s="5"/>
      <c r="N74" s="7"/>
      <c r="O74" s="7"/>
      <c r="P74" s="7"/>
      <c r="Q74" s="7"/>
      <c r="S74" s="17"/>
      <c r="T74" s="5"/>
      <c r="U74" s="5"/>
      <c r="V74" s="5"/>
      <c r="W74" s="7"/>
      <c r="X74" s="7"/>
      <c r="Y74" s="7"/>
      <c r="Z74" s="7"/>
      <c r="AA74" s="7"/>
      <c r="AB74" s="17"/>
      <c r="AC74" s="5"/>
      <c r="AD74" s="5"/>
      <c r="AE74" s="5"/>
      <c r="AF74" s="7"/>
      <c r="AG74" s="7"/>
      <c r="AH74" s="7"/>
      <c r="AI74" s="7"/>
      <c r="AK74" s="17"/>
      <c r="AL74" s="5"/>
      <c r="AM74" s="5"/>
      <c r="AN74" s="5"/>
      <c r="AO74" s="7"/>
      <c r="AP74" s="7"/>
      <c r="AQ74" s="7"/>
      <c r="AR74" s="7"/>
    </row>
    <row r="75" spans="1:44" ht="14">
      <c r="A75" s="17"/>
      <c r="B75" s="5"/>
      <c r="C75" s="5"/>
      <c r="D75" s="5"/>
      <c r="E75" s="7"/>
      <c r="F75" s="7"/>
      <c r="G75" s="7"/>
      <c r="H75" s="7"/>
      <c r="J75" s="17"/>
      <c r="K75" s="5"/>
      <c r="L75" s="5"/>
      <c r="M75" s="5"/>
      <c r="N75" s="7"/>
      <c r="O75" s="7"/>
      <c r="P75" s="7"/>
      <c r="Q75" s="7"/>
      <c r="S75" s="17"/>
      <c r="T75" s="5"/>
      <c r="U75" s="5"/>
      <c r="V75" s="5"/>
      <c r="W75" s="7"/>
      <c r="X75" s="7"/>
      <c r="Y75" s="7"/>
      <c r="Z75" s="7"/>
      <c r="AA75" s="7"/>
      <c r="AB75" s="17"/>
      <c r="AC75" s="5"/>
      <c r="AD75" s="5"/>
      <c r="AE75" s="5"/>
      <c r="AF75" s="7"/>
      <c r="AG75" s="7"/>
      <c r="AH75" s="7"/>
      <c r="AI75" s="7"/>
      <c r="AK75" s="17"/>
      <c r="AL75" s="5"/>
      <c r="AM75" s="5"/>
      <c r="AN75" s="5"/>
      <c r="AO75" s="7"/>
      <c r="AP75" s="7"/>
      <c r="AQ75" s="7"/>
      <c r="AR75" s="7"/>
    </row>
    <row r="76" spans="1:44" ht="14">
      <c r="A76" s="5"/>
      <c r="B76" s="5"/>
      <c r="C76" s="5"/>
      <c r="D76" s="5"/>
      <c r="E76" s="7"/>
      <c r="F76" s="7"/>
      <c r="G76" s="7"/>
      <c r="H76" s="7"/>
      <c r="J76" s="5"/>
      <c r="K76" s="5"/>
      <c r="L76" s="5"/>
      <c r="M76" s="5"/>
      <c r="N76" s="7"/>
      <c r="O76" s="7"/>
      <c r="P76" s="7"/>
      <c r="Q76" s="7"/>
      <c r="S76" s="5"/>
      <c r="T76" s="5"/>
      <c r="U76" s="5"/>
      <c r="V76" s="5"/>
      <c r="W76" s="7"/>
      <c r="X76" s="7"/>
      <c r="Y76" s="7"/>
      <c r="Z76" s="7"/>
      <c r="AA76" s="7"/>
      <c r="AB76" s="5"/>
      <c r="AC76" s="5"/>
      <c r="AD76" s="5"/>
      <c r="AE76" s="5"/>
      <c r="AF76" s="7"/>
      <c r="AG76" s="7"/>
      <c r="AH76" s="7"/>
      <c r="AI76" s="7"/>
      <c r="AK76" s="5"/>
      <c r="AL76" s="5"/>
      <c r="AM76" s="5"/>
      <c r="AN76" s="5"/>
      <c r="AO76" s="7"/>
      <c r="AP76" s="7"/>
      <c r="AQ76" s="7"/>
      <c r="AR76" s="7"/>
    </row>
    <row r="77" spans="1:44" ht="14">
      <c r="A77" s="5"/>
      <c r="B77" s="5"/>
      <c r="C77" s="5"/>
      <c r="D77" s="5"/>
      <c r="E77" s="7"/>
      <c r="F77" s="7"/>
      <c r="G77" s="7"/>
      <c r="H77" s="7"/>
      <c r="J77" s="5"/>
      <c r="K77" s="5"/>
      <c r="L77" s="5"/>
      <c r="M77" s="5"/>
      <c r="N77" s="7"/>
      <c r="O77" s="7"/>
      <c r="P77" s="7"/>
      <c r="Q77" s="7"/>
      <c r="S77" s="5"/>
      <c r="T77" s="5"/>
      <c r="U77" s="5"/>
      <c r="V77" s="5"/>
      <c r="W77" s="7"/>
      <c r="X77" s="7"/>
      <c r="Y77" s="7"/>
      <c r="Z77" s="7"/>
      <c r="AA77" s="7"/>
      <c r="AB77" s="5"/>
      <c r="AC77" s="5"/>
      <c r="AD77" s="5"/>
      <c r="AE77" s="5"/>
      <c r="AF77" s="7"/>
      <c r="AG77" s="7"/>
      <c r="AH77" s="7"/>
      <c r="AI77" s="7"/>
      <c r="AK77" s="5"/>
      <c r="AL77" s="5"/>
      <c r="AM77" s="5"/>
      <c r="AN77" s="5"/>
      <c r="AO77" s="7"/>
      <c r="AP77" s="7"/>
      <c r="AQ77" s="7"/>
      <c r="AR77" s="7"/>
    </row>
    <row r="78" spans="1:44" ht="14">
      <c r="A78" s="5"/>
      <c r="B78" s="5"/>
      <c r="C78" s="5"/>
      <c r="D78" s="5"/>
      <c r="E78" s="7"/>
      <c r="F78" s="7"/>
      <c r="G78" s="7"/>
      <c r="H78" s="7"/>
      <c r="J78" s="5"/>
      <c r="K78" s="5"/>
      <c r="L78" s="5"/>
      <c r="M78" s="5"/>
      <c r="N78" s="7"/>
      <c r="O78" s="7"/>
      <c r="P78" s="7"/>
      <c r="Q78" s="7"/>
      <c r="S78" s="5"/>
      <c r="T78" s="5"/>
      <c r="U78" s="5"/>
      <c r="V78" s="5"/>
      <c r="W78" s="7"/>
      <c r="X78" s="7"/>
      <c r="Y78" s="7"/>
      <c r="Z78" s="7"/>
      <c r="AA78" s="7"/>
      <c r="AB78" s="5"/>
      <c r="AC78" s="5"/>
      <c r="AD78" s="5"/>
      <c r="AE78" s="5"/>
      <c r="AF78" s="7"/>
      <c r="AG78" s="7"/>
      <c r="AH78" s="7"/>
      <c r="AI78" s="7"/>
      <c r="AK78" s="5"/>
      <c r="AL78" s="5"/>
      <c r="AM78" s="5"/>
      <c r="AN78" s="5"/>
      <c r="AO78" s="7"/>
      <c r="AP78" s="7"/>
      <c r="AQ78" s="7"/>
      <c r="AR78" s="7"/>
    </row>
    <row r="79" spans="1:44" ht="14">
      <c r="A79" s="7"/>
      <c r="B79" s="7"/>
      <c r="C79" s="7"/>
      <c r="D79" s="7"/>
      <c r="E79" s="7"/>
      <c r="F79" s="7"/>
      <c r="G79" s="7"/>
      <c r="H79" s="7"/>
      <c r="J79" s="7"/>
      <c r="K79" s="7"/>
      <c r="L79" s="7"/>
      <c r="M79" s="7"/>
      <c r="N79" s="7"/>
      <c r="O79" s="7"/>
      <c r="P79" s="7"/>
      <c r="Q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K79" s="7"/>
      <c r="AL79" s="7"/>
      <c r="AM79" s="7"/>
      <c r="AN79" s="7"/>
      <c r="AO79" s="7"/>
      <c r="AP79" s="7"/>
      <c r="AQ79" s="7"/>
      <c r="AR79" s="7"/>
    </row>
    <row r="80" spans="1:44" ht="14">
      <c r="A80" s="7"/>
      <c r="B80" s="7"/>
      <c r="C80" s="7"/>
      <c r="D80" s="27"/>
      <c r="E80" s="24"/>
      <c r="F80" s="7"/>
      <c r="G80" s="7"/>
      <c r="H80" s="7"/>
      <c r="J80" s="7"/>
      <c r="K80" s="7"/>
      <c r="L80" s="7"/>
      <c r="M80" s="27"/>
      <c r="N80" s="24"/>
      <c r="O80" s="7"/>
      <c r="P80" s="7"/>
      <c r="Q80" s="7"/>
      <c r="S80" s="7"/>
      <c r="T80" s="7"/>
      <c r="U80" s="7"/>
      <c r="V80" s="27"/>
      <c r="W80" s="24"/>
      <c r="X80" s="7"/>
      <c r="Y80" s="7"/>
      <c r="Z80" s="7"/>
      <c r="AA80" s="7"/>
      <c r="AB80" s="7"/>
      <c r="AC80" s="7"/>
      <c r="AD80" s="7"/>
      <c r="AE80" s="27"/>
      <c r="AF80" s="24"/>
      <c r="AG80" s="7"/>
      <c r="AH80" s="7"/>
      <c r="AI80" s="7"/>
      <c r="AK80" s="7"/>
      <c r="AL80" s="7"/>
      <c r="AM80" s="7"/>
      <c r="AN80" s="27"/>
      <c r="AO80" s="24"/>
      <c r="AP80" s="7"/>
      <c r="AQ80" s="7"/>
      <c r="AR80" s="7"/>
    </row>
    <row r="81" spans="1:44" ht="14">
      <c r="A81" s="7"/>
      <c r="B81" s="7"/>
      <c r="C81" s="7"/>
      <c r="D81" s="7"/>
      <c r="E81" s="7"/>
      <c r="F81" s="7"/>
      <c r="G81" s="7"/>
      <c r="H81" s="7"/>
      <c r="J81" s="7"/>
      <c r="K81" s="7"/>
      <c r="L81" s="7"/>
      <c r="M81" s="7"/>
      <c r="N81" s="7"/>
      <c r="O81" s="7"/>
      <c r="P81" s="7"/>
      <c r="Q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K81" s="7"/>
      <c r="AL81" s="7"/>
      <c r="AM81" s="7"/>
      <c r="AN81" s="7"/>
      <c r="AO81" s="7"/>
      <c r="AP81" s="7"/>
      <c r="AQ81" s="7"/>
      <c r="AR81" s="7"/>
    </row>
    <row r="82" spans="1:44" ht="14">
      <c r="A82" s="7"/>
      <c r="B82" s="7"/>
      <c r="C82" s="7"/>
      <c r="D82" s="7"/>
      <c r="E82" s="7"/>
      <c r="F82" s="7"/>
      <c r="G82" s="7"/>
      <c r="H82" s="7"/>
      <c r="J82" s="7"/>
      <c r="K82" s="7"/>
      <c r="L82" s="7"/>
      <c r="M82" s="7"/>
      <c r="N82" s="7"/>
      <c r="O82" s="7"/>
      <c r="P82" s="7"/>
      <c r="Q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K82" s="7"/>
      <c r="AL82" s="7"/>
      <c r="AM82" s="7"/>
      <c r="AN82" s="7"/>
      <c r="AO82" s="7"/>
      <c r="AP82" s="7"/>
      <c r="AQ82" s="7"/>
      <c r="AR82" s="7"/>
    </row>
    <row r="83" spans="1:44" ht="14">
      <c r="A83" s="7"/>
      <c r="B83" s="7"/>
      <c r="C83" s="7"/>
      <c r="D83" s="7"/>
      <c r="E83" s="7"/>
      <c r="F83" s="7"/>
      <c r="G83" s="7"/>
      <c r="H83" s="7"/>
      <c r="J83" s="7"/>
      <c r="K83" s="7"/>
      <c r="L83" s="7"/>
      <c r="M83" s="7"/>
      <c r="N83" s="7"/>
      <c r="O83" s="7"/>
      <c r="P83" s="7"/>
      <c r="Q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K83" s="7"/>
      <c r="AL83" s="7"/>
      <c r="AM83" s="7"/>
      <c r="AN83" s="7"/>
      <c r="AO83" s="7"/>
      <c r="AP83" s="7"/>
      <c r="AQ83" s="7"/>
      <c r="AR83" s="7"/>
    </row>
  </sheetData>
  <mergeCells count="54">
    <mergeCell ref="X53:Y53"/>
    <mergeCell ref="AP53:AQ53"/>
    <mergeCell ref="O55:P55"/>
    <mergeCell ref="O56:P56"/>
    <mergeCell ref="F42:G42"/>
    <mergeCell ref="F52:G52"/>
    <mergeCell ref="O52:P52"/>
    <mergeCell ref="X52:Y52"/>
    <mergeCell ref="AP52:AQ52"/>
    <mergeCell ref="X54:Y54"/>
    <mergeCell ref="F55:G55"/>
    <mergeCell ref="X55:Y55"/>
    <mergeCell ref="O58:P58"/>
    <mergeCell ref="X58:Y58"/>
    <mergeCell ref="AE80:AF80"/>
    <mergeCell ref="F58:G58"/>
    <mergeCell ref="F59:G59"/>
    <mergeCell ref="F60:G60"/>
    <mergeCell ref="F56:G56"/>
    <mergeCell ref="X56:Y56"/>
    <mergeCell ref="O59:P59"/>
    <mergeCell ref="X59:Y59"/>
    <mergeCell ref="O60:P60"/>
    <mergeCell ref="X60:Y60"/>
    <mergeCell ref="D62:E62"/>
    <mergeCell ref="D80:E80"/>
    <mergeCell ref="M80:N80"/>
    <mergeCell ref="V80:W80"/>
    <mergeCell ref="F35:G35"/>
    <mergeCell ref="F36:G36"/>
    <mergeCell ref="F37:G37"/>
    <mergeCell ref="F38:G38"/>
    <mergeCell ref="F39:G39"/>
    <mergeCell ref="F40:G40"/>
    <mergeCell ref="F41:G41"/>
    <mergeCell ref="F53:G53"/>
    <mergeCell ref="F54:G54"/>
    <mergeCell ref="O54:P54"/>
    <mergeCell ref="O53:P53"/>
    <mergeCell ref="AP58:AQ58"/>
    <mergeCell ref="AP59:AQ59"/>
    <mergeCell ref="AP60:AQ60"/>
    <mergeCell ref="AN80:AO80"/>
    <mergeCell ref="AG52:AH52"/>
    <mergeCell ref="AG53:AH53"/>
    <mergeCell ref="AG54:AH54"/>
    <mergeCell ref="AP54:AQ54"/>
    <mergeCell ref="AG55:AH55"/>
    <mergeCell ref="AP55:AQ55"/>
    <mergeCell ref="AP56:AQ56"/>
    <mergeCell ref="AG60:AH60"/>
    <mergeCell ref="AG56:AH56"/>
    <mergeCell ref="AG58:AH58"/>
    <mergeCell ref="AG59:AH59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I1000"/>
  <sheetViews>
    <sheetView workbookViewId="0"/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10.5</v>
      </c>
      <c r="C2" s="17">
        <v>9.5</v>
      </c>
      <c r="D2" s="6">
        <f t="shared" ref="D2:D26" si="0">(B2/C2)</f>
        <v>1.1052631578947369</v>
      </c>
      <c r="E2" s="14" t="s">
        <v>29</v>
      </c>
      <c r="F2" s="14" t="s">
        <v>30</v>
      </c>
      <c r="G2" s="7"/>
      <c r="H2" s="7"/>
    </row>
    <row r="3" spans="1:9" ht="15.75" customHeight="1">
      <c r="A3" s="4">
        <v>2</v>
      </c>
      <c r="B3" s="17">
        <v>11</v>
      </c>
      <c r="C3" s="17">
        <v>9.5</v>
      </c>
      <c r="D3" s="6">
        <f t="shared" si="0"/>
        <v>1.1578947368421053</v>
      </c>
      <c r="E3" s="7"/>
      <c r="F3" s="7"/>
      <c r="G3" s="7"/>
      <c r="H3" s="7"/>
    </row>
    <row r="4" spans="1:9" ht="15.75" customHeight="1">
      <c r="A4" s="4">
        <v>3</v>
      </c>
      <c r="B4" s="17">
        <v>12</v>
      </c>
      <c r="C4" s="17">
        <v>9.5</v>
      </c>
      <c r="D4" s="6">
        <f t="shared" si="0"/>
        <v>1.263157894736842</v>
      </c>
      <c r="E4" s="7"/>
      <c r="F4" s="7"/>
      <c r="G4" s="7"/>
      <c r="H4" s="7"/>
    </row>
    <row r="5" spans="1:9" ht="15.75" customHeight="1">
      <c r="A5" s="4">
        <v>4</v>
      </c>
      <c r="B5" s="17">
        <v>9.5</v>
      </c>
      <c r="C5" s="17">
        <v>8.5</v>
      </c>
      <c r="D5" s="6">
        <f t="shared" si="0"/>
        <v>1.1176470588235294</v>
      </c>
      <c r="E5" s="7"/>
      <c r="F5" s="7"/>
      <c r="G5" s="7"/>
      <c r="H5" s="7"/>
    </row>
    <row r="6" spans="1:9" ht="15.75" customHeight="1">
      <c r="A6" s="4">
        <v>5</v>
      </c>
      <c r="B6" s="17">
        <v>10.5</v>
      </c>
      <c r="C6" s="17">
        <v>9.5</v>
      </c>
      <c r="D6" s="6">
        <f t="shared" si="0"/>
        <v>1.1052631578947369</v>
      </c>
      <c r="E6" s="7"/>
      <c r="F6" s="7"/>
      <c r="G6" s="7"/>
      <c r="H6" s="7"/>
    </row>
    <row r="7" spans="1:9" ht="15.75" customHeight="1">
      <c r="A7" s="4">
        <v>6</v>
      </c>
      <c r="B7" s="17">
        <v>11</v>
      </c>
      <c r="C7" s="17">
        <v>9</v>
      </c>
      <c r="D7" s="6">
        <f t="shared" si="0"/>
        <v>1.2222222222222223</v>
      </c>
      <c r="E7" s="7"/>
      <c r="F7" s="7"/>
      <c r="G7" s="7"/>
      <c r="H7" s="7"/>
    </row>
    <row r="8" spans="1:9" ht="15.75" customHeight="1">
      <c r="A8" s="4">
        <v>7</v>
      </c>
      <c r="B8" s="17">
        <v>11</v>
      </c>
      <c r="C8" s="17">
        <v>10</v>
      </c>
      <c r="D8" s="6">
        <f t="shared" si="0"/>
        <v>1.1000000000000001</v>
      </c>
      <c r="E8" s="7"/>
      <c r="F8" s="7"/>
      <c r="G8" s="7"/>
      <c r="H8" s="7"/>
    </row>
    <row r="9" spans="1:9" ht="15.75" customHeight="1">
      <c r="A9" s="4">
        <v>8</v>
      </c>
      <c r="B9" s="17">
        <v>11</v>
      </c>
      <c r="C9" s="17">
        <v>9</v>
      </c>
      <c r="D9" s="6">
        <f t="shared" si="0"/>
        <v>1.2222222222222223</v>
      </c>
      <c r="E9" s="7"/>
      <c r="F9" s="7"/>
      <c r="G9" s="7"/>
      <c r="H9" s="7"/>
    </row>
    <row r="10" spans="1:9" ht="15.75" customHeight="1">
      <c r="A10" s="4">
        <v>9</v>
      </c>
      <c r="B10" s="17">
        <v>9</v>
      </c>
      <c r="C10" s="17">
        <v>9</v>
      </c>
      <c r="D10" s="6">
        <f t="shared" si="0"/>
        <v>1</v>
      </c>
      <c r="E10" s="7"/>
      <c r="F10" s="7"/>
      <c r="G10" s="7"/>
      <c r="H10" s="7"/>
    </row>
    <row r="11" spans="1:9" ht="15.75" customHeight="1">
      <c r="A11" s="4">
        <v>10</v>
      </c>
      <c r="B11" s="17">
        <v>9.5</v>
      </c>
      <c r="C11" s="17">
        <v>9.5</v>
      </c>
      <c r="D11" s="6">
        <f t="shared" si="0"/>
        <v>1</v>
      </c>
      <c r="E11" s="7"/>
      <c r="F11" s="7"/>
      <c r="G11" s="7"/>
      <c r="H11" s="7"/>
    </row>
    <row r="12" spans="1:9" ht="15.75" customHeight="1">
      <c r="A12" s="8">
        <v>11</v>
      </c>
      <c r="B12" s="17">
        <v>10</v>
      </c>
      <c r="C12" s="17">
        <v>9.5</v>
      </c>
      <c r="D12" s="6">
        <f t="shared" si="0"/>
        <v>1.0526315789473684</v>
      </c>
      <c r="E12" s="7"/>
      <c r="F12" s="7"/>
      <c r="G12" s="7"/>
      <c r="H12" s="7"/>
    </row>
    <row r="13" spans="1:9" ht="15.75" customHeight="1">
      <c r="A13" s="8">
        <v>12</v>
      </c>
      <c r="B13" s="17">
        <v>10</v>
      </c>
      <c r="C13" s="17">
        <v>10</v>
      </c>
      <c r="D13" s="6">
        <f t="shared" si="0"/>
        <v>1</v>
      </c>
      <c r="E13" s="7"/>
      <c r="F13" s="7"/>
      <c r="G13" s="7"/>
      <c r="H13" s="7"/>
    </row>
    <row r="14" spans="1:9" ht="15.75" customHeight="1">
      <c r="A14" s="8">
        <v>13</v>
      </c>
      <c r="B14" s="17">
        <v>10.5</v>
      </c>
      <c r="C14" s="17">
        <v>9.5</v>
      </c>
      <c r="D14" s="6">
        <f t="shared" si="0"/>
        <v>1.1052631578947369</v>
      </c>
      <c r="E14" s="7"/>
      <c r="F14" s="7"/>
      <c r="G14" s="7"/>
      <c r="H14" s="7"/>
    </row>
    <row r="15" spans="1:9" ht="15.75" customHeight="1">
      <c r="A15" s="8">
        <v>14</v>
      </c>
      <c r="B15" s="17">
        <v>12</v>
      </c>
      <c r="C15" s="17">
        <v>10</v>
      </c>
      <c r="D15" s="6">
        <f t="shared" si="0"/>
        <v>1.2</v>
      </c>
      <c r="E15" s="7"/>
      <c r="F15" s="7"/>
      <c r="G15" s="7"/>
      <c r="H15" s="7"/>
    </row>
    <row r="16" spans="1:9" ht="15.75" customHeight="1">
      <c r="A16" s="8">
        <v>15</v>
      </c>
      <c r="B16" s="17">
        <v>11.5</v>
      </c>
      <c r="C16" s="17">
        <v>10.5</v>
      </c>
      <c r="D16" s="6">
        <f t="shared" si="0"/>
        <v>1.0952380952380953</v>
      </c>
      <c r="E16" s="7"/>
      <c r="F16" s="7"/>
      <c r="G16" s="7"/>
      <c r="H16" s="7"/>
      <c r="I16" s="1" t="s">
        <v>325</v>
      </c>
    </row>
    <row r="17" spans="1:9" ht="15.75" customHeight="1">
      <c r="A17" s="8">
        <v>16</v>
      </c>
      <c r="B17" s="17">
        <v>11.5</v>
      </c>
      <c r="C17" s="17">
        <v>11</v>
      </c>
      <c r="D17" s="6">
        <f t="shared" si="0"/>
        <v>1.0454545454545454</v>
      </c>
      <c r="E17" s="7"/>
      <c r="F17" s="7"/>
      <c r="G17" s="7"/>
      <c r="H17" s="7"/>
    </row>
    <row r="18" spans="1:9" ht="15.75" customHeight="1">
      <c r="A18" s="8">
        <v>17</v>
      </c>
      <c r="B18" s="17">
        <v>11</v>
      </c>
      <c r="C18" s="17">
        <v>10</v>
      </c>
      <c r="D18" s="6">
        <f t="shared" si="0"/>
        <v>1.1000000000000001</v>
      </c>
      <c r="E18" s="7"/>
      <c r="F18" s="7"/>
      <c r="G18" s="7"/>
      <c r="H18" s="7"/>
    </row>
    <row r="19" spans="1:9" ht="15.75" customHeight="1">
      <c r="A19" s="8">
        <v>18</v>
      </c>
      <c r="B19" s="17">
        <v>11</v>
      </c>
      <c r="C19" s="17">
        <v>10.5</v>
      </c>
      <c r="D19" s="6">
        <f t="shared" si="0"/>
        <v>1.0476190476190477</v>
      </c>
      <c r="E19" s="7"/>
      <c r="F19" s="7"/>
      <c r="G19" s="7"/>
      <c r="H19" s="7"/>
    </row>
    <row r="20" spans="1:9" ht="15.75" customHeight="1">
      <c r="A20" s="8">
        <v>19</v>
      </c>
      <c r="B20" s="17">
        <v>11</v>
      </c>
      <c r="C20" s="17">
        <v>9</v>
      </c>
      <c r="D20" s="6">
        <f t="shared" si="0"/>
        <v>1.2222222222222223</v>
      </c>
      <c r="E20" s="7"/>
      <c r="F20" s="7"/>
      <c r="G20" s="7"/>
      <c r="H20" s="7"/>
    </row>
    <row r="21" spans="1:9" ht="15.75" customHeight="1">
      <c r="A21" s="8">
        <v>20</v>
      </c>
      <c r="B21" s="17">
        <v>10.5</v>
      </c>
      <c r="C21" s="17">
        <v>10</v>
      </c>
      <c r="D21" s="6">
        <f t="shared" si="0"/>
        <v>1.05</v>
      </c>
      <c r="E21" s="7"/>
      <c r="F21" s="7"/>
      <c r="G21" s="7"/>
      <c r="H21" s="7"/>
    </row>
    <row r="22" spans="1:9" ht="15.75" customHeight="1">
      <c r="A22" s="8">
        <v>21</v>
      </c>
      <c r="B22" s="17">
        <v>10</v>
      </c>
      <c r="C22" s="17">
        <v>9.5</v>
      </c>
      <c r="D22" s="6">
        <f t="shared" si="0"/>
        <v>1.0526315789473684</v>
      </c>
      <c r="E22" s="7"/>
      <c r="F22" s="7"/>
      <c r="G22" s="7"/>
      <c r="H22" s="7"/>
    </row>
    <row r="23" spans="1:9" ht="15.75" customHeight="1">
      <c r="A23" s="8">
        <v>22</v>
      </c>
      <c r="B23" s="17">
        <v>11.5</v>
      </c>
      <c r="C23" s="17">
        <v>9</v>
      </c>
      <c r="D23" s="6">
        <f t="shared" si="0"/>
        <v>1.2777777777777777</v>
      </c>
      <c r="E23" s="7"/>
      <c r="F23" s="7"/>
      <c r="G23" s="7"/>
      <c r="H23" s="7"/>
    </row>
    <row r="24" spans="1:9" ht="15.75" customHeight="1">
      <c r="A24" s="8">
        <v>23</v>
      </c>
      <c r="B24" s="17">
        <v>10</v>
      </c>
      <c r="C24" s="17">
        <v>9.5</v>
      </c>
      <c r="D24" s="6">
        <f t="shared" si="0"/>
        <v>1.0526315789473684</v>
      </c>
      <c r="E24" s="7"/>
      <c r="F24" s="7"/>
      <c r="G24" s="7"/>
      <c r="H24" s="7"/>
    </row>
    <row r="25" spans="1:9" ht="15.75" customHeight="1">
      <c r="A25" s="8">
        <v>24</v>
      </c>
      <c r="B25" s="17">
        <v>11</v>
      </c>
      <c r="C25" s="17">
        <v>9.5</v>
      </c>
      <c r="D25" s="6">
        <f t="shared" si="0"/>
        <v>1.1578947368421053</v>
      </c>
      <c r="E25" s="7"/>
      <c r="F25" s="7"/>
      <c r="G25" s="7"/>
      <c r="H25" s="7"/>
    </row>
    <row r="26" spans="1:9" ht="15.75" customHeight="1">
      <c r="A26" s="8">
        <v>25</v>
      </c>
      <c r="B26" s="17">
        <v>10</v>
      </c>
      <c r="C26" s="17">
        <v>10</v>
      </c>
      <c r="D26" s="6">
        <f t="shared" si="0"/>
        <v>1</v>
      </c>
      <c r="E26" s="7"/>
      <c r="F26" s="7"/>
      <c r="G26" s="7"/>
      <c r="H26" s="7"/>
    </row>
    <row r="27" spans="1:9" ht="15.75" customHeight="1">
      <c r="A27" s="4" t="s">
        <v>10</v>
      </c>
      <c r="B27" s="5">
        <f t="shared" ref="B27:D27" si="1">AVERAGE(B2:B26)</f>
        <v>10.66</v>
      </c>
      <c r="C27" s="5">
        <f t="shared" si="1"/>
        <v>9.6199999999999992</v>
      </c>
      <c r="D27" s="9">
        <f t="shared" si="1"/>
        <v>1.1101213908210814</v>
      </c>
      <c r="E27" s="7"/>
      <c r="F27" s="7"/>
      <c r="G27" s="7"/>
      <c r="H27" s="7"/>
    </row>
    <row r="28" spans="1:9" ht="15.75" customHeight="1">
      <c r="A28" s="4" t="s">
        <v>11</v>
      </c>
      <c r="B28" s="5">
        <f t="shared" ref="B28:D28" si="2">MIN(B3:B26)</f>
        <v>9</v>
      </c>
      <c r="C28" s="5">
        <f t="shared" si="2"/>
        <v>8.5</v>
      </c>
      <c r="D28" s="9">
        <f t="shared" si="2"/>
        <v>1</v>
      </c>
      <c r="E28" s="7"/>
      <c r="F28" s="7"/>
      <c r="G28" s="7"/>
      <c r="H28" s="7"/>
    </row>
    <row r="29" spans="1:9" ht="15.75" customHeight="1">
      <c r="A29" s="4" t="s">
        <v>12</v>
      </c>
      <c r="B29" s="5">
        <f t="shared" ref="B29:D29" si="3">MAX(B4:B26)</f>
        <v>12</v>
      </c>
      <c r="C29" s="5">
        <f t="shared" si="3"/>
        <v>11</v>
      </c>
      <c r="D29" s="9">
        <f t="shared" si="3"/>
        <v>1.2777777777777777</v>
      </c>
      <c r="E29" s="7"/>
      <c r="F29" s="7"/>
      <c r="G29" s="7"/>
      <c r="H29" s="7"/>
    </row>
    <row r="30" spans="1:9" ht="15.75" customHeight="1">
      <c r="A30" s="2"/>
      <c r="B30" s="7"/>
      <c r="C30" s="7"/>
      <c r="D30" s="10"/>
      <c r="E30" s="7"/>
      <c r="F30" s="7"/>
      <c r="G30" s="7"/>
      <c r="H30" s="7"/>
    </row>
    <row r="31" spans="1:9" ht="15.75" customHeight="1">
      <c r="A31" s="2"/>
      <c r="B31" s="7"/>
      <c r="C31" s="7"/>
      <c r="D31" s="10"/>
      <c r="E31" s="7"/>
      <c r="F31" s="7"/>
      <c r="G31" s="7"/>
      <c r="H31" s="7"/>
    </row>
    <row r="32" spans="1:9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  <c r="I32" s="1" t="s">
        <v>326</v>
      </c>
    </row>
    <row r="33" spans="1:8" ht="15.75" customHeight="1">
      <c r="A33" s="4">
        <v>1</v>
      </c>
      <c r="B33" s="17">
        <v>39.5</v>
      </c>
      <c r="C33" s="17">
        <v>13.5</v>
      </c>
      <c r="D33" s="13">
        <v>2</v>
      </c>
      <c r="E33" s="17">
        <v>6</v>
      </c>
      <c r="F33" s="14" t="s">
        <v>41</v>
      </c>
      <c r="G33" s="14" t="s">
        <v>327</v>
      </c>
      <c r="H33" s="7"/>
    </row>
    <row r="34" spans="1:8" ht="15.75" customHeight="1">
      <c r="A34" s="4">
        <v>2</v>
      </c>
      <c r="B34" s="17">
        <v>38.5</v>
      </c>
      <c r="C34" s="17">
        <v>10</v>
      </c>
      <c r="D34" s="13" t="s">
        <v>207</v>
      </c>
      <c r="E34" s="17">
        <v>3.5</v>
      </c>
      <c r="F34" s="14" t="s">
        <v>41</v>
      </c>
      <c r="G34" s="14" t="s">
        <v>328</v>
      </c>
      <c r="H34" s="7"/>
    </row>
    <row r="35" spans="1:8" ht="15.75" customHeight="1">
      <c r="A35" s="4">
        <v>3</v>
      </c>
      <c r="B35" s="17">
        <v>39.5</v>
      </c>
      <c r="C35" s="17">
        <v>10</v>
      </c>
      <c r="D35" s="13">
        <v>2</v>
      </c>
      <c r="E35" s="14">
        <v>3.5</v>
      </c>
      <c r="F35" s="14" t="s">
        <v>41</v>
      </c>
      <c r="G35" s="14" t="s">
        <v>329</v>
      </c>
      <c r="H35" s="7"/>
    </row>
    <row r="36" spans="1:8" ht="15.75" customHeight="1">
      <c r="A36" s="4">
        <v>4</v>
      </c>
      <c r="B36" s="17"/>
      <c r="C36" s="5"/>
      <c r="D36" s="13">
        <v>4</v>
      </c>
      <c r="E36" s="17">
        <v>2.5</v>
      </c>
      <c r="F36" s="7"/>
      <c r="G36" s="14" t="s">
        <v>330</v>
      </c>
      <c r="H36" s="7"/>
    </row>
    <row r="37" spans="1:8" ht="15.75" customHeight="1">
      <c r="A37" s="4">
        <v>5</v>
      </c>
      <c r="B37" s="5"/>
      <c r="C37" s="5"/>
      <c r="D37" s="13">
        <v>2</v>
      </c>
      <c r="E37" s="17">
        <v>4.5</v>
      </c>
      <c r="F37" s="7"/>
      <c r="G37" s="7"/>
      <c r="H37" s="7"/>
    </row>
    <row r="38" spans="1:8" ht="15.75" customHeight="1">
      <c r="A38" s="4">
        <v>6</v>
      </c>
      <c r="B38" s="17">
        <v>39</v>
      </c>
      <c r="C38" s="17">
        <v>14</v>
      </c>
      <c r="D38" s="13">
        <v>4</v>
      </c>
      <c r="E38" s="17">
        <v>4.5</v>
      </c>
      <c r="F38" s="7"/>
      <c r="G38" s="14" t="s">
        <v>331</v>
      </c>
      <c r="H38" s="7"/>
    </row>
    <row r="39" spans="1:8" ht="15.75" customHeight="1">
      <c r="A39" s="4">
        <v>7</v>
      </c>
      <c r="B39" s="17">
        <v>42</v>
      </c>
      <c r="C39" s="17">
        <v>14</v>
      </c>
      <c r="D39" s="13">
        <v>2</v>
      </c>
      <c r="E39" s="17">
        <v>8.9</v>
      </c>
      <c r="F39" s="7"/>
      <c r="G39" s="14" t="s">
        <v>332</v>
      </c>
      <c r="H39" s="7"/>
    </row>
    <row r="40" spans="1:8" ht="15.75" customHeight="1">
      <c r="A40" s="4">
        <v>8</v>
      </c>
      <c r="B40" s="17">
        <v>32.5</v>
      </c>
      <c r="C40" s="17">
        <v>13.5</v>
      </c>
      <c r="D40" s="13">
        <v>4</v>
      </c>
      <c r="E40" s="17">
        <v>3.5</v>
      </c>
      <c r="F40" s="7"/>
      <c r="G40" s="7"/>
      <c r="H40" s="7"/>
    </row>
    <row r="41" spans="1:8" ht="15.75" customHeight="1">
      <c r="A41" s="4">
        <v>9</v>
      </c>
      <c r="B41" s="17">
        <v>39.5</v>
      </c>
      <c r="C41" s="17">
        <v>15</v>
      </c>
      <c r="D41" s="13">
        <v>4</v>
      </c>
      <c r="E41" s="17">
        <v>4.5</v>
      </c>
      <c r="F41" s="7"/>
      <c r="G41" s="14" t="s">
        <v>333</v>
      </c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9" ht="15.75" customHeight="1">
      <c r="A49" s="8">
        <v>17</v>
      </c>
      <c r="D49" s="12"/>
      <c r="F49" s="7"/>
      <c r="G49" s="7"/>
      <c r="H49" s="7"/>
    </row>
    <row r="50" spans="1:9" ht="15.75" customHeight="1">
      <c r="A50" s="8">
        <v>18</v>
      </c>
      <c r="D50" s="12"/>
      <c r="F50" s="7"/>
      <c r="G50" s="7"/>
      <c r="H50" s="7"/>
    </row>
    <row r="51" spans="1:9" ht="15.75" customHeight="1">
      <c r="A51" s="8">
        <v>19</v>
      </c>
      <c r="D51" s="12"/>
      <c r="F51" s="7"/>
      <c r="G51" s="7"/>
      <c r="H51" s="7"/>
    </row>
    <row r="52" spans="1:9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9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9" ht="14">
      <c r="A54" s="8">
        <v>22</v>
      </c>
      <c r="B54" s="5"/>
      <c r="C54" s="5"/>
      <c r="D54" s="11"/>
      <c r="E54" s="5"/>
      <c r="F54" s="7"/>
      <c r="G54" s="7"/>
      <c r="H54" s="7"/>
    </row>
    <row r="55" spans="1:9" ht="14">
      <c r="A55" s="8">
        <v>23</v>
      </c>
      <c r="B55" s="5"/>
      <c r="C55" s="5"/>
      <c r="D55" s="11"/>
      <c r="E55" s="5"/>
      <c r="F55" s="7"/>
      <c r="G55" s="7"/>
      <c r="H55" s="7"/>
    </row>
    <row r="56" spans="1:9" ht="14">
      <c r="A56" s="8">
        <v>24</v>
      </c>
      <c r="B56" s="5"/>
      <c r="C56" s="5"/>
      <c r="D56" s="11"/>
      <c r="E56" s="5"/>
      <c r="F56" s="7"/>
      <c r="G56" s="7"/>
      <c r="H56" s="7"/>
    </row>
    <row r="57" spans="1:9" ht="14">
      <c r="A57" s="8">
        <v>25</v>
      </c>
      <c r="B57" s="5"/>
      <c r="C57" s="5"/>
      <c r="D57" s="11"/>
      <c r="E57" s="5"/>
      <c r="F57" s="7"/>
      <c r="G57" s="7"/>
      <c r="H57" s="7"/>
    </row>
    <row r="58" spans="1:9" ht="14">
      <c r="A58" s="4" t="s">
        <v>10</v>
      </c>
      <c r="B58" s="5">
        <f t="shared" ref="B58:C58" si="4">AVERAGE(B33:B57)</f>
        <v>38.642857142857146</v>
      </c>
      <c r="C58" s="5">
        <f t="shared" si="4"/>
        <v>12.857142857142858</v>
      </c>
      <c r="D58" s="13" t="s">
        <v>18</v>
      </c>
      <c r="E58" s="7"/>
      <c r="F58" s="7"/>
      <c r="G58" s="7"/>
      <c r="H58" s="7"/>
    </row>
    <row r="59" spans="1:9" ht="14">
      <c r="A59" s="4" t="s">
        <v>11</v>
      </c>
      <c r="B59" s="5">
        <f t="shared" ref="B59:D59" si="5">MIN(B33:B57)</f>
        <v>32.5</v>
      </c>
      <c r="C59" s="5">
        <f t="shared" si="5"/>
        <v>10</v>
      </c>
      <c r="D59" s="11">
        <f t="shared" si="5"/>
        <v>2</v>
      </c>
      <c r="E59" s="7"/>
      <c r="F59" s="7"/>
      <c r="G59" s="7"/>
      <c r="H59" s="7"/>
    </row>
    <row r="60" spans="1:9" ht="14">
      <c r="A60" s="4" t="s">
        <v>12</v>
      </c>
      <c r="B60" s="5">
        <f t="shared" ref="B60:D60" si="6">MAX(B34:B58)</f>
        <v>42</v>
      </c>
      <c r="C60" s="5">
        <f t="shared" si="6"/>
        <v>15</v>
      </c>
      <c r="D60" s="11">
        <f t="shared" si="6"/>
        <v>4</v>
      </c>
      <c r="E60" s="7"/>
      <c r="F60" s="7"/>
      <c r="G60" s="7"/>
      <c r="H60" s="7"/>
      <c r="I60" s="1" t="s">
        <v>334</v>
      </c>
    </row>
    <row r="61" spans="1:9" ht="14">
      <c r="A61" s="2"/>
      <c r="B61" s="7"/>
      <c r="C61" s="7"/>
      <c r="D61" s="10"/>
      <c r="E61" s="7"/>
      <c r="F61" s="7"/>
      <c r="G61" s="7"/>
      <c r="H61" s="7"/>
      <c r="I61" s="1" t="s">
        <v>335</v>
      </c>
    </row>
    <row r="62" spans="1:9" ht="14">
      <c r="A62" s="2" t="s">
        <v>19</v>
      </c>
      <c r="B62" s="7" t="s">
        <v>20</v>
      </c>
      <c r="C62" s="7" t="s">
        <v>21</v>
      </c>
      <c r="D62" s="23" t="s">
        <v>22</v>
      </c>
      <c r="E62" s="24"/>
      <c r="F62" s="14"/>
      <c r="G62" s="14"/>
      <c r="H62" s="14"/>
    </row>
    <row r="63" spans="1:9" ht="14">
      <c r="A63" s="2"/>
      <c r="B63" s="14" t="s">
        <v>290</v>
      </c>
      <c r="C63" s="14" t="s">
        <v>336</v>
      </c>
      <c r="D63" s="18" t="s">
        <v>337</v>
      </c>
      <c r="E63" s="7"/>
      <c r="F63" s="7"/>
      <c r="G63" s="7"/>
      <c r="H63" s="7"/>
    </row>
    <row r="64" spans="1:9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5.5</v>
      </c>
      <c r="C65" s="14">
        <v>41</v>
      </c>
      <c r="D65" s="18">
        <v>37</v>
      </c>
      <c r="E65" s="7"/>
      <c r="F65" s="7"/>
      <c r="G65" s="7"/>
      <c r="H65" s="7"/>
    </row>
    <row r="66" spans="1:8" ht="14">
      <c r="A66" s="2"/>
      <c r="B66" s="14">
        <v>4.5</v>
      </c>
      <c r="C66" s="14">
        <v>61</v>
      </c>
      <c r="D66" s="18">
        <v>54.5</v>
      </c>
      <c r="E66" s="7"/>
    </row>
    <row r="67" spans="1:8" ht="14">
      <c r="A67" s="2"/>
      <c r="B67" s="14">
        <v>5</v>
      </c>
      <c r="C67" s="14">
        <v>62</v>
      </c>
      <c r="D67" s="18">
        <v>59</v>
      </c>
      <c r="E67" s="7"/>
    </row>
    <row r="68" spans="1:8" ht="14">
      <c r="A68" s="2"/>
      <c r="B68" s="14">
        <v>4.5</v>
      </c>
      <c r="C68" s="14">
        <v>68.5</v>
      </c>
      <c r="D68" s="18">
        <v>59.5</v>
      </c>
      <c r="E68" s="7"/>
    </row>
    <row r="69" spans="1:8" ht="14">
      <c r="A69" s="2"/>
      <c r="B69" s="14">
        <v>5.5</v>
      </c>
      <c r="C69" s="14">
        <v>50.5</v>
      </c>
      <c r="D69" s="18">
        <v>43</v>
      </c>
      <c r="E69" s="7"/>
    </row>
    <row r="70" spans="1:8" ht="14">
      <c r="A70" s="2" t="s">
        <v>26</v>
      </c>
      <c r="B70" s="7" t="s">
        <v>27</v>
      </c>
      <c r="C70" s="7"/>
      <c r="D70" s="10"/>
      <c r="E70" s="7"/>
    </row>
    <row r="71" spans="1:8" ht="14">
      <c r="A71" s="2"/>
      <c r="B71" s="14" t="s">
        <v>61</v>
      </c>
      <c r="C71" s="7"/>
      <c r="D71" s="10"/>
      <c r="E71" s="7"/>
    </row>
    <row r="72" spans="1:8" ht="13">
      <c r="D72" s="16"/>
    </row>
    <row r="73" spans="1:8" ht="13">
      <c r="D73" s="16"/>
    </row>
    <row r="74" spans="1:8" ht="13"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</sheetData>
  <mergeCells count="1">
    <mergeCell ref="D62:E6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I69"/>
  <sheetViews>
    <sheetView workbookViewId="0"/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1" t="s">
        <v>338</v>
      </c>
    </row>
    <row r="2" spans="1:9" ht="15.75" customHeight="1">
      <c r="A2" s="4">
        <v>1</v>
      </c>
      <c r="B2" s="17">
        <v>11</v>
      </c>
      <c r="C2" s="17">
        <v>9</v>
      </c>
      <c r="D2" s="6">
        <f t="shared" ref="D2:D26" si="0">B2/C2</f>
        <v>1.2222222222222223</v>
      </c>
      <c r="E2" s="14" t="s">
        <v>29</v>
      </c>
      <c r="F2" s="14" t="s">
        <v>30</v>
      </c>
      <c r="G2" s="7"/>
      <c r="H2" s="7"/>
    </row>
    <row r="3" spans="1:9" ht="15.75" customHeight="1">
      <c r="A3" s="4">
        <v>2</v>
      </c>
      <c r="B3" s="17">
        <v>12.5</v>
      </c>
      <c r="C3" s="17">
        <v>11</v>
      </c>
      <c r="D3" s="9">
        <f t="shared" si="0"/>
        <v>1.1363636363636365</v>
      </c>
      <c r="E3" s="14" t="s">
        <v>29</v>
      </c>
      <c r="F3" s="14" t="s">
        <v>30</v>
      </c>
      <c r="G3" s="7"/>
      <c r="H3" s="7"/>
    </row>
    <row r="4" spans="1:9" ht="15.75" customHeight="1">
      <c r="A4" s="4">
        <v>3</v>
      </c>
      <c r="B4" s="17">
        <v>10</v>
      </c>
      <c r="C4" s="17">
        <v>7.5</v>
      </c>
      <c r="D4" s="9">
        <f t="shared" si="0"/>
        <v>1.3333333333333333</v>
      </c>
      <c r="E4" s="14" t="s">
        <v>35</v>
      </c>
      <c r="F4" s="14" t="s">
        <v>30</v>
      </c>
      <c r="G4" s="7"/>
      <c r="H4" s="7"/>
    </row>
    <row r="5" spans="1:9" ht="15.75" customHeight="1">
      <c r="A5" s="4">
        <v>4</v>
      </c>
      <c r="B5" s="17">
        <v>11</v>
      </c>
      <c r="C5" s="17">
        <v>8.5</v>
      </c>
      <c r="D5" s="9">
        <f t="shared" si="0"/>
        <v>1.2941176470588236</v>
      </c>
      <c r="E5" s="14" t="s">
        <v>35</v>
      </c>
      <c r="F5" s="14" t="s">
        <v>30</v>
      </c>
      <c r="G5" s="7"/>
      <c r="H5" s="7"/>
    </row>
    <row r="6" spans="1:9" ht="15.75" customHeight="1">
      <c r="A6" s="4">
        <v>5</v>
      </c>
      <c r="B6" s="17">
        <v>10</v>
      </c>
      <c r="C6" s="17">
        <v>8.5</v>
      </c>
      <c r="D6" s="9">
        <f t="shared" si="0"/>
        <v>1.1764705882352942</v>
      </c>
      <c r="E6" s="14" t="s">
        <v>29</v>
      </c>
      <c r="F6" s="14" t="s">
        <v>30</v>
      </c>
      <c r="G6" s="7"/>
      <c r="H6" s="7"/>
    </row>
    <row r="7" spans="1:9" ht="15.75" customHeight="1">
      <c r="A7" s="4">
        <v>6</v>
      </c>
      <c r="B7" s="17">
        <v>13</v>
      </c>
      <c r="C7" s="17">
        <v>10</v>
      </c>
      <c r="D7" s="9">
        <f t="shared" si="0"/>
        <v>1.3</v>
      </c>
      <c r="E7" s="14" t="s">
        <v>35</v>
      </c>
      <c r="F7" s="14" t="s">
        <v>30</v>
      </c>
      <c r="G7" s="7"/>
      <c r="H7" s="7"/>
    </row>
    <row r="8" spans="1:9" ht="15.75" customHeight="1">
      <c r="A8" s="4">
        <v>7</v>
      </c>
      <c r="B8" s="17">
        <v>9</v>
      </c>
      <c r="C8" s="17">
        <v>6.5</v>
      </c>
      <c r="D8" s="9">
        <f t="shared" si="0"/>
        <v>1.3846153846153846</v>
      </c>
      <c r="E8" s="14" t="s">
        <v>29</v>
      </c>
      <c r="F8" s="14" t="s">
        <v>30</v>
      </c>
      <c r="G8" s="14" t="s">
        <v>29</v>
      </c>
      <c r="H8" s="7"/>
    </row>
    <row r="9" spans="1:9" ht="15.75" customHeight="1">
      <c r="A9" s="4">
        <v>8</v>
      </c>
      <c r="B9" s="17">
        <v>9.5</v>
      </c>
      <c r="C9" s="17">
        <v>7</v>
      </c>
      <c r="D9" s="9">
        <f t="shared" si="0"/>
        <v>1.3571428571428572</v>
      </c>
      <c r="E9" s="14" t="s">
        <v>29</v>
      </c>
      <c r="F9" s="14" t="s">
        <v>30</v>
      </c>
      <c r="G9" s="14" t="s">
        <v>29</v>
      </c>
      <c r="H9" s="7"/>
    </row>
    <row r="10" spans="1:9" ht="15.75" customHeight="1">
      <c r="A10" s="4">
        <v>9</v>
      </c>
      <c r="B10" s="17">
        <v>7.5</v>
      </c>
      <c r="C10" s="17">
        <v>6</v>
      </c>
      <c r="D10" s="9">
        <f t="shared" si="0"/>
        <v>1.25</v>
      </c>
      <c r="E10" s="14" t="s">
        <v>29</v>
      </c>
      <c r="F10" s="14" t="s">
        <v>30</v>
      </c>
      <c r="G10" s="14" t="s">
        <v>29</v>
      </c>
      <c r="H10" s="7"/>
    </row>
    <row r="11" spans="1:9" ht="15.75" customHeight="1">
      <c r="A11" s="4">
        <v>10</v>
      </c>
      <c r="B11" s="17">
        <v>10</v>
      </c>
      <c r="C11" s="17">
        <v>8.5</v>
      </c>
      <c r="D11" s="9">
        <f t="shared" si="0"/>
        <v>1.1764705882352942</v>
      </c>
      <c r="E11" s="14" t="s">
        <v>29</v>
      </c>
      <c r="F11" s="14" t="s">
        <v>30</v>
      </c>
      <c r="G11" s="14" t="s">
        <v>29</v>
      </c>
      <c r="H11" s="7"/>
    </row>
    <row r="12" spans="1:9" ht="15.75" customHeight="1">
      <c r="A12" s="8">
        <v>11</v>
      </c>
      <c r="B12" s="17">
        <v>8</v>
      </c>
      <c r="C12" s="17">
        <v>7.5</v>
      </c>
      <c r="D12" s="9">
        <f t="shared" si="0"/>
        <v>1.0666666666666667</v>
      </c>
      <c r="E12" s="14" t="s">
        <v>29</v>
      </c>
      <c r="F12" s="14" t="s">
        <v>30</v>
      </c>
      <c r="G12" s="14" t="s">
        <v>29</v>
      </c>
      <c r="H12" s="7"/>
    </row>
    <row r="13" spans="1:9" ht="15.75" customHeight="1">
      <c r="A13" s="8">
        <v>12</v>
      </c>
      <c r="B13" s="17">
        <v>9</v>
      </c>
      <c r="C13" s="17">
        <v>8.5</v>
      </c>
      <c r="D13" s="9">
        <f t="shared" si="0"/>
        <v>1.0588235294117647</v>
      </c>
      <c r="E13" s="14" t="s">
        <v>29</v>
      </c>
      <c r="F13" s="14" t="s">
        <v>30</v>
      </c>
      <c r="G13" s="14" t="s">
        <v>29</v>
      </c>
      <c r="H13" s="7"/>
    </row>
    <row r="14" spans="1:9" ht="15.75" customHeight="1">
      <c r="A14" s="8">
        <v>13</v>
      </c>
      <c r="B14" s="17">
        <v>9</v>
      </c>
      <c r="C14" s="17">
        <v>8.5</v>
      </c>
      <c r="D14" s="9">
        <f t="shared" si="0"/>
        <v>1.0588235294117647</v>
      </c>
      <c r="E14" s="14" t="s">
        <v>29</v>
      </c>
      <c r="F14" s="14" t="s">
        <v>30</v>
      </c>
      <c r="G14" s="14" t="s">
        <v>29</v>
      </c>
      <c r="H14" s="7"/>
    </row>
    <row r="15" spans="1:9" ht="15.75" customHeight="1">
      <c r="A15" s="8">
        <v>14</v>
      </c>
      <c r="B15" s="17">
        <v>8</v>
      </c>
      <c r="C15" s="17">
        <v>7</v>
      </c>
      <c r="D15" s="9">
        <f t="shared" si="0"/>
        <v>1.1428571428571428</v>
      </c>
      <c r="E15" s="14" t="s">
        <v>29</v>
      </c>
      <c r="F15" s="14" t="s">
        <v>30</v>
      </c>
      <c r="G15" s="14" t="s">
        <v>29</v>
      </c>
      <c r="H15" s="7"/>
    </row>
    <row r="16" spans="1:9" ht="15.75" customHeight="1">
      <c r="A16" s="8">
        <v>15</v>
      </c>
      <c r="B16" s="17">
        <v>9</v>
      </c>
      <c r="C16" s="17">
        <v>7</v>
      </c>
      <c r="D16" s="9">
        <f t="shared" si="0"/>
        <v>1.2857142857142858</v>
      </c>
      <c r="E16" s="14" t="s">
        <v>29</v>
      </c>
      <c r="F16" s="14" t="s">
        <v>30</v>
      </c>
      <c r="G16" s="14" t="s">
        <v>29</v>
      </c>
      <c r="H16" s="7"/>
    </row>
    <row r="17" spans="1:8" ht="15.75" customHeight="1">
      <c r="A17" s="8">
        <v>16</v>
      </c>
      <c r="B17" s="17">
        <v>10</v>
      </c>
      <c r="C17" s="17">
        <v>8.5</v>
      </c>
      <c r="D17" s="9">
        <f t="shared" si="0"/>
        <v>1.1764705882352942</v>
      </c>
      <c r="E17" s="14" t="s">
        <v>29</v>
      </c>
      <c r="F17" s="14" t="s">
        <v>30</v>
      </c>
      <c r="G17" s="14" t="s">
        <v>29</v>
      </c>
      <c r="H17" s="7"/>
    </row>
    <row r="18" spans="1:8" ht="15.75" customHeight="1">
      <c r="A18" s="8">
        <v>17</v>
      </c>
      <c r="B18" s="17">
        <v>10.5</v>
      </c>
      <c r="C18" s="17">
        <v>7.5</v>
      </c>
      <c r="D18" s="9">
        <f t="shared" si="0"/>
        <v>1.4</v>
      </c>
      <c r="E18" s="14" t="s">
        <v>29</v>
      </c>
      <c r="F18" s="14" t="s">
        <v>30</v>
      </c>
      <c r="G18" s="14" t="s">
        <v>29</v>
      </c>
      <c r="H18" s="7"/>
    </row>
    <row r="19" spans="1:8" ht="15.75" customHeight="1">
      <c r="A19" s="8">
        <v>18</v>
      </c>
      <c r="B19" s="17">
        <v>10.5</v>
      </c>
      <c r="C19" s="17">
        <v>8.5</v>
      </c>
      <c r="D19" s="9">
        <f t="shared" si="0"/>
        <v>1.2352941176470589</v>
      </c>
      <c r="E19" s="14" t="s">
        <v>29</v>
      </c>
      <c r="F19" s="14" t="s">
        <v>30</v>
      </c>
      <c r="G19" s="14" t="s">
        <v>29</v>
      </c>
      <c r="H19" s="7"/>
    </row>
    <row r="20" spans="1:8" ht="15.75" customHeight="1">
      <c r="A20" s="8">
        <v>19</v>
      </c>
      <c r="B20" s="17">
        <v>10</v>
      </c>
      <c r="C20" s="17">
        <v>8</v>
      </c>
      <c r="D20" s="9">
        <f t="shared" si="0"/>
        <v>1.25</v>
      </c>
      <c r="E20" s="14" t="s">
        <v>29</v>
      </c>
      <c r="F20" s="14" t="s">
        <v>30</v>
      </c>
      <c r="G20" s="14" t="s">
        <v>29</v>
      </c>
      <c r="H20" s="7"/>
    </row>
    <row r="21" spans="1:8" ht="15.75" customHeight="1">
      <c r="A21" s="8">
        <v>20</v>
      </c>
      <c r="B21" s="17">
        <v>9</v>
      </c>
      <c r="C21" s="17">
        <v>7.5</v>
      </c>
      <c r="D21" s="9">
        <f t="shared" si="0"/>
        <v>1.2</v>
      </c>
      <c r="E21" s="14" t="s">
        <v>29</v>
      </c>
      <c r="F21" s="14" t="s">
        <v>30</v>
      </c>
      <c r="G21" s="14" t="s">
        <v>29</v>
      </c>
      <c r="H21" s="7"/>
    </row>
    <row r="22" spans="1:8" ht="15.75" customHeight="1">
      <c r="A22" s="8">
        <v>21</v>
      </c>
      <c r="B22" s="17">
        <v>11</v>
      </c>
      <c r="C22" s="17">
        <v>10.5</v>
      </c>
      <c r="D22" s="9">
        <f t="shared" si="0"/>
        <v>1.0476190476190477</v>
      </c>
      <c r="E22" s="14" t="s">
        <v>29</v>
      </c>
      <c r="F22" s="14" t="s">
        <v>30</v>
      </c>
      <c r="G22" s="14" t="s">
        <v>29</v>
      </c>
      <c r="H22" s="7"/>
    </row>
    <row r="23" spans="1:8" ht="15.75" customHeight="1">
      <c r="A23" s="8">
        <v>22</v>
      </c>
      <c r="B23" s="17">
        <v>10.5</v>
      </c>
      <c r="C23" s="17">
        <v>9</v>
      </c>
      <c r="D23" s="9">
        <f t="shared" si="0"/>
        <v>1.1666666666666667</v>
      </c>
      <c r="E23" s="14" t="s">
        <v>29</v>
      </c>
      <c r="F23" s="14" t="s">
        <v>30</v>
      </c>
      <c r="G23" s="14" t="s">
        <v>29</v>
      </c>
      <c r="H23" s="7"/>
    </row>
    <row r="24" spans="1:8" ht="15.75" customHeight="1">
      <c r="A24" s="8">
        <v>23</v>
      </c>
      <c r="B24" s="17">
        <v>9.5</v>
      </c>
      <c r="C24" s="17">
        <v>9</v>
      </c>
      <c r="D24" s="9">
        <f t="shared" si="0"/>
        <v>1.0555555555555556</v>
      </c>
      <c r="E24" s="14" t="s">
        <v>29</v>
      </c>
      <c r="F24" s="14" t="s">
        <v>30</v>
      </c>
      <c r="G24" s="14" t="s">
        <v>29</v>
      </c>
      <c r="H24" s="7"/>
    </row>
    <row r="25" spans="1:8" ht="15.75" customHeight="1">
      <c r="A25" s="8">
        <v>24</v>
      </c>
      <c r="B25" s="17">
        <v>10</v>
      </c>
      <c r="C25" s="17">
        <v>9</v>
      </c>
      <c r="D25" s="9">
        <f t="shared" si="0"/>
        <v>1.1111111111111112</v>
      </c>
      <c r="E25" s="14" t="s">
        <v>29</v>
      </c>
      <c r="F25" s="14" t="s">
        <v>30</v>
      </c>
      <c r="G25" s="14" t="s">
        <v>29</v>
      </c>
      <c r="H25" s="7"/>
    </row>
    <row r="26" spans="1:8" ht="15.75" customHeight="1">
      <c r="A26" s="8">
        <v>25</v>
      </c>
      <c r="B26" s="17">
        <v>10.5</v>
      </c>
      <c r="C26" s="17">
        <v>7.5</v>
      </c>
      <c r="D26" s="9">
        <f t="shared" si="0"/>
        <v>1.4</v>
      </c>
      <c r="E26" s="14" t="s">
        <v>29</v>
      </c>
      <c r="F26" s="14" t="s">
        <v>30</v>
      </c>
      <c r="G26" s="14" t="s">
        <v>29</v>
      </c>
      <c r="H26" s="7"/>
    </row>
    <row r="27" spans="1:8" ht="15.75" customHeight="1">
      <c r="A27" s="4" t="s">
        <v>10</v>
      </c>
      <c r="B27" s="5">
        <f t="shared" ref="B27:D27" si="1">AVERAGE(B2:B26)</f>
        <v>9.92</v>
      </c>
      <c r="C27" s="5">
        <f t="shared" si="1"/>
        <v>8.24</v>
      </c>
      <c r="D27" s="9">
        <f t="shared" si="1"/>
        <v>1.211453539924128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7.5</v>
      </c>
      <c r="C28" s="5">
        <f t="shared" si="2"/>
        <v>6</v>
      </c>
      <c r="D28" s="9">
        <f t="shared" si="2"/>
        <v>1.0476190476190477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13</v>
      </c>
      <c r="C29" s="5">
        <f t="shared" si="3"/>
        <v>10.5</v>
      </c>
      <c r="D29" s="9">
        <f t="shared" si="3"/>
        <v>1.4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9" ht="15.75" customHeight="1">
      <c r="A33" s="4">
        <v>1</v>
      </c>
      <c r="B33" s="5"/>
      <c r="C33" s="5"/>
      <c r="D33" s="6" t="s">
        <v>339</v>
      </c>
      <c r="E33" s="5"/>
      <c r="F33" s="7"/>
      <c r="G33" s="7"/>
      <c r="H33" s="14" t="s">
        <v>340</v>
      </c>
    </row>
    <row r="34" spans="1:9" ht="15.75" customHeight="1">
      <c r="A34" s="4">
        <v>2</v>
      </c>
      <c r="B34" s="17">
        <v>48.5</v>
      </c>
      <c r="C34" s="17">
        <v>11</v>
      </c>
      <c r="D34" s="6">
        <v>4</v>
      </c>
      <c r="E34" s="17">
        <v>8</v>
      </c>
      <c r="F34" s="7"/>
      <c r="G34" s="7"/>
      <c r="H34" s="14" t="s">
        <v>341</v>
      </c>
    </row>
    <row r="35" spans="1:9" ht="15.75" customHeight="1">
      <c r="A35" s="4">
        <v>3</v>
      </c>
      <c r="B35" s="17">
        <v>48.5</v>
      </c>
      <c r="C35" s="17">
        <v>12</v>
      </c>
      <c r="D35" s="6">
        <v>4</v>
      </c>
      <c r="E35" s="14">
        <v>8</v>
      </c>
      <c r="F35" s="7"/>
      <c r="G35" s="7"/>
      <c r="H35" s="14" t="s">
        <v>342</v>
      </c>
    </row>
    <row r="36" spans="1:9" ht="15.75" customHeight="1">
      <c r="A36" s="4">
        <v>4</v>
      </c>
      <c r="B36" s="17">
        <v>48</v>
      </c>
      <c r="C36" s="17">
        <v>12.5</v>
      </c>
      <c r="D36" s="6">
        <v>4</v>
      </c>
      <c r="E36" s="17">
        <v>5.5</v>
      </c>
      <c r="F36" s="7"/>
      <c r="G36" s="7"/>
      <c r="H36" s="7"/>
    </row>
    <row r="37" spans="1:9" ht="15.75" customHeight="1">
      <c r="A37" s="4">
        <v>5</v>
      </c>
      <c r="B37" s="17">
        <v>39.5</v>
      </c>
      <c r="C37" s="17">
        <v>12.5</v>
      </c>
      <c r="D37" s="6">
        <v>2</v>
      </c>
      <c r="E37" s="17">
        <v>10.5</v>
      </c>
      <c r="F37" s="7"/>
      <c r="G37" s="7"/>
      <c r="H37" s="7"/>
    </row>
    <row r="38" spans="1:9" ht="15.75" customHeight="1">
      <c r="A38" s="4">
        <v>6</v>
      </c>
      <c r="B38" s="17">
        <v>36.5</v>
      </c>
      <c r="C38" s="17">
        <v>12</v>
      </c>
      <c r="D38" s="6">
        <v>2</v>
      </c>
      <c r="E38" s="17">
        <v>8</v>
      </c>
      <c r="F38" s="7"/>
      <c r="G38" s="7"/>
      <c r="H38" s="7"/>
    </row>
    <row r="39" spans="1:9" ht="15.75" customHeight="1">
      <c r="A39" s="4">
        <v>7</v>
      </c>
      <c r="B39" s="17">
        <v>40.5</v>
      </c>
      <c r="C39" s="17">
        <v>11</v>
      </c>
      <c r="D39" s="6">
        <v>4</v>
      </c>
      <c r="E39" s="17">
        <v>4</v>
      </c>
      <c r="F39" s="7"/>
      <c r="G39" s="7"/>
      <c r="H39" s="7"/>
    </row>
    <row r="40" spans="1:9" ht="15.75" customHeight="1">
      <c r="A40" s="4">
        <v>8</v>
      </c>
      <c r="B40" s="17">
        <v>36</v>
      </c>
      <c r="C40" s="17">
        <v>11.5</v>
      </c>
      <c r="D40" s="6">
        <v>3</v>
      </c>
      <c r="E40" s="17">
        <v>4.5</v>
      </c>
      <c r="F40" s="7"/>
      <c r="G40" s="7"/>
      <c r="H40" s="7"/>
    </row>
    <row r="41" spans="1:9" ht="15.75" customHeight="1">
      <c r="A41" s="4">
        <v>9</v>
      </c>
      <c r="B41" s="17">
        <v>37</v>
      </c>
      <c r="C41" s="17">
        <v>12.5</v>
      </c>
      <c r="D41" s="6">
        <v>3</v>
      </c>
      <c r="E41" s="17">
        <v>7.5</v>
      </c>
      <c r="F41" s="7"/>
      <c r="G41" s="7"/>
      <c r="H41" s="7"/>
    </row>
    <row r="42" spans="1:9" ht="15.75" customHeight="1">
      <c r="A42" s="4">
        <v>10</v>
      </c>
      <c r="B42" s="17"/>
      <c r="C42" s="17"/>
      <c r="D42" s="6">
        <v>3</v>
      </c>
      <c r="E42" s="17">
        <v>5</v>
      </c>
      <c r="F42" s="7"/>
      <c r="G42" s="7"/>
      <c r="H42" s="14" t="s">
        <v>343</v>
      </c>
      <c r="I42" s="1" t="s">
        <v>344</v>
      </c>
    </row>
    <row r="43" spans="1:9" ht="15.75" customHeight="1">
      <c r="A43" s="8">
        <v>11</v>
      </c>
      <c r="B43" s="22">
        <v>33</v>
      </c>
      <c r="C43" s="22">
        <v>11</v>
      </c>
      <c r="D43" s="6">
        <v>4</v>
      </c>
      <c r="E43" s="17">
        <v>7.5</v>
      </c>
      <c r="F43" s="7"/>
      <c r="G43" s="7"/>
      <c r="H43" s="7"/>
    </row>
    <row r="44" spans="1:9" ht="15.75" customHeight="1">
      <c r="A44" s="8">
        <v>12</v>
      </c>
      <c r="B44" s="1">
        <v>35.5</v>
      </c>
      <c r="C44" s="1">
        <v>10</v>
      </c>
      <c r="D44" s="16">
        <v>4</v>
      </c>
      <c r="E44" s="1">
        <v>9.5</v>
      </c>
      <c r="F44" s="7"/>
      <c r="G44" s="7"/>
      <c r="H44" s="7"/>
    </row>
    <row r="45" spans="1:9" ht="15.75" customHeight="1">
      <c r="A45" s="8">
        <v>13</v>
      </c>
      <c r="B45" s="1">
        <v>36</v>
      </c>
      <c r="C45" s="1">
        <v>14</v>
      </c>
      <c r="D45" s="16">
        <v>4</v>
      </c>
      <c r="E45" s="1">
        <v>5</v>
      </c>
      <c r="F45" s="7"/>
      <c r="G45" s="7"/>
      <c r="H45" s="7"/>
    </row>
    <row r="46" spans="1:9" ht="15.75" customHeight="1">
      <c r="A46" s="8">
        <v>14</v>
      </c>
      <c r="B46" s="1">
        <v>44</v>
      </c>
      <c r="C46" s="1">
        <v>13.5</v>
      </c>
      <c r="D46" s="16">
        <v>1</v>
      </c>
      <c r="E46" s="1">
        <v>8.5</v>
      </c>
      <c r="F46" s="7"/>
      <c r="G46" s="7"/>
      <c r="H46" s="14" t="s">
        <v>345</v>
      </c>
    </row>
    <row r="47" spans="1:9" ht="15.75" customHeight="1">
      <c r="A47" s="8">
        <v>15</v>
      </c>
      <c r="B47" s="1">
        <v>33.5</v>
      </c>
      <c r="C47" s="1">
        <v>10.5</v>
      </c>
      <c r="D47" s="16">
        <v>4</v>
      </c>
      <c r="E47" s="1">
        <v>9</v>
      </c>
      <c r="F47" s="7"/>
      <c r="G47" s="7"/>
      <c r="H47" s="7"/>
    </row>
    <row r="48" spans="1:9" ht="15.75" customHeight="1">
      <c r="A48" s="8">
        <v>16</v>
      </c>
      <c r="B48" s="1">
        <v>32</v>
      </c>
      <c r="C48" s="1">
        <v>10</v>
      </c>
      <c r="D48" s="16">
        <v>2</v>
      </c>
      <c r="E48" s="1">
        <v>6.5</v>
      </c>
      <c r="F48" s="7"/>
      <c r="G48" s="7"/>
      <c r="H48" s="7"/>
    </row>
    <row r="49" spans="1:8" ht="15.75" customHeight="1">
      <c r="A49" s="8">
        <v>17</v>
      </c>
      <c r="B49" s="1">
        <v>27.5</v>
      </c>
      <c r="C49" s="1">
        <v>7</v>
      </c>
      <c r="D49" s="16">
        <v>2</v>
      </c>
      <c r="E49" s="1">
        <v>5</v>
      </c>
      <c r="F49" s="7"/>
      <c r="G49" s="7"/>
      <c r="H49" s="7"/>
    </row>
    <row r="50" spans="1:8" ht="15.75" customHeight="1">
      <c r="A50" s="8">
        <v>18</v>
      </c>
      <c r="B50" s="1">
        <v>41.5</v>
      </c>
      <c r="C50" s="1">
        <v>11</v>
      </c>
      <c r="D50" s="16">
        <v>4</v>
      </c>
      <c r="E50" s="1">
        <v>8.5</v>
      </c>
      <c r="F50" s="7"/>
      <c r="G50" s="7"/>
      <c r="H50" s="7"/>
    </row>
    <row r="51" spans="1:8" ht="15.75" customHeight="1">
      <c r="A51" s="8">
        <v>19</v>
      </c>
      <c r="B51" s="1">
        <v>37</v>
      </c>
      <c r="C51" s="1">
        <v>10.5</v>
      </c>
      <c r="D51" s="16">
        <v>4</v>
      </c>
      <c r="E51" s="1">
        <v>5.5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9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9"/>
      <c r="E53" s="5"/>
      <c r="F53" s="7"/>
      <c r="G53" s="7"/>
      <c r="H53" s="7"/>
    </row>
    <row r="54" spans="1:8" ht="14">
      <c r="A54" s="8">
        <v>22</v>
      </c>
      <c r="B54" s="5"/>
      <c r="C54" s="5"/>
      <c r="D54" s="9"/>
      <c r="E54" s="5"/>
      <c r="F54" s="7"/>
      <c r="G54" s="7"/>
      <c r="H54" s="7"/>
    </row>
    <row r="55" spans="1:8" ht="14">
      <c r="A55" s="8">
        <v>23</v>
      </c>
      <c r="B55" s="5"/>
      <c r="C55" s="5"/>
      <c r="D55" s="9"/>
      <c r="E55" s="5"/>
      <c r="F55" s="7"/>
      <c r="G55" s="7"/>
      <c r="H55" s="7"/>
    </row>
    <row r="56" spans="1:8" ht="14">
      <c r="A56" s="8">
        <v>24</v>
      </c>
      <c r="B56" s="5"/>
      <c r="C56" s="5"/>
      <c r="D56" s="9"/>
      <c r="E56" s="5"/>
      <c r="F56" s="7"/>
      <c r="G56" s="7"/>
      <c r="H56" s="7"/>
    </row>
    <row r="57" spans="1:8" ht="14">
      <c r="A57" s="8">
        <v>25</v>
      </c>
      <c r="B57" s="5"/>
      <c r="C57" s="5"/>
      <c r="D57" s="9"/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38.5</v>
      </c>
      <c r="C58" s="5">
        <f t="shared" si="4"/>
        <v>11.323529411764707</v>
      </c>
      <c r="D58" s="6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27.5</v>
      </c>
      <c r="C59" s="5">
        <f t="shared" si="5"/>
        <v>7</v>
      </c>
      <c r="D59" s="9">
        <f t="shared" si="5"/>
        <v>1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48.5</v>
      </c>
      <c r="C60" s="5">
        <f t="shared" si="6"/>
        <v>14</v>
      </c>
      <c r="D60" s="9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  <c r="F62" s="14" t="s">
        <v>23</v>
      </c>
      <c r="G62" s="14" t="s">
        <v>24</v>
      </c>
      <c r="H62" s="14" t="s">
        <v>25</v>
      </c>
    </row>
    <row r="63" spans="1:8" ht="14">
      <c r="A63" s="2"/>
      <c r="B63" s="14" t="s">
        <v>290</v>
      </c>
      <c r="C63" s="14" t="s">
        <v>346</v>
      </c>
      <c r="D63" s="18" t="s">
        <v>225</v>
      </c>
      <c r="E63" s="7"/>
      <c r="F63" s="14">
        <v>9.5</v>
      </c>
      <c r="G63" s="7"/>
      <c r="H63" s="7"/>
    </row>
    <row r="64" spans="1:8" ht="14">
      <c r="A64" s="2" t="s">
        <v>26</v>
      </c>
      <c r="B64" s="7" t="s">
        <v>27</v>
      </c>
      <c r="C64" s="7"/>
      <c r="D64" s="10"/>
      <c r="E64" s="7"/>
      <c r="F64" s="14">
        <v>7.5</v>
      </c>
      <c r="G64" s="7"/>
      <c r="H64" s="7"/>
    </row>
    <row r="65" spans="1:8" ht="14">
      <c r="A65" s="2"/>
      <c r="B65" s="7"/>
      <c r="C65" s="7"/>
      <c r="D65" s="10"/>
      <c r="E65" s="7"/>
      <c r="F65" s="14">
        <v>14</v>
      </c>
      <c r="G65" s="7"/>
      <c r="H65" s="7"/>
    </row>
    <row r="66" spans="1:8" ht="13">
      <c r="F66" s="1">
        <v>7.5</v>
      </c>
    </row>
    <row r="67" spans="1:8" ht="13">
      <c r="F67" s="1">
        <v>9</v>
      </c>
    </row>
    <row r="68" spans="1:8" ht="13">
      <c r="F68" s="1">
        <v>17</v>
      </c>
    </row>
    <row r="69" spans="1:8" ht="13">
      <c r="E69" s="1" t="s">
        <v>347</v>
      </c>
      <c r="F69" s="1">
        <f>AVERAGE(F63:F68)</f>
        <v>10.75</v>
      </c>
    </row>
  </sheetData>
  <mergeCells count="1">
    <mergeCell ref="D62:E6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L1000"/>
  <sheetViews>
    <sheetView workbookViewId="0"/>
  </sheetViews>
  <sheetFormatPr baseColWidth="10" defaultColWidth="12.6640625" defaultRowHeight="15.75" customHeight="1"/>
  <sheetData>
    <row r="1" spans="1:12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12" ht="15.75" customHeight="1">
      <c r="A2" s="4">
        <v>1</v>
      </c>
      <c r="B2" s="17">
        <v>9.1999999999999993</v>
      </c>
      <c r="C2" s="17">
        <v>7.6</v>
      </c>
      <c r="D2" s="9">
        <f t="shared" ref="D2:D26" si="0">B2/C2</f>
        <v>1.2105263157894737</v>
      </c>
      <c r="E2" s="14" t="s">
        <v>29</v>
      </c>
      <c r="F2" s="14" t="s">
        <v>30</v>
      </c>
      <c r="G2" s="14" t="s">
        <v>29</v>
      </c>
      <c r="H2" s="7"/>
      <c r="J2" s="1" t="s">
        <v>348</v>
      </c>
      <c r="L2" s="1" t="s">
        <v>332</v>
      </c>
    </row>
    <row r="3" spans="1:12" ht="15.75" customHeight="1">
      <c r="A3" s="4">
        <v>2</v>
      </c>
      <c r="B3" s="17">
        <v>9.6</v>
      </c>
      <c r="C3" s="17">
        <v>6.9</v>
      </c>
      <c r="D3" s="9">
        <f t="shared" si="0"/>
        <v>1.3913043478260869</v>
      </c>
      <c r="E3" s="14" t="s">
        <v>29</v>
      </c>
      <c r="F3" s="14" t="s">
        <v>30</v>
      </c>
      <c r="G3" s="14" t="s">
        <v>29</v>
      </c>
      <c r="H3" s="7"/>
    </row>
    <row r="4" spans="1:12" ht="15.75" customHeight="1">
      <c r="A4" s="4">
        <v>3</v>
      </c>
      <c r="B4" s="17">
        <v>11</v>
      </c>
      <c r="C4" s="17">
        <v>7.7</v>
      </c>
      <c r="D4" s="9">
        <f t="shared" si="0"/>
        <v>1.4285714285714286</v>
      </c>
      <c r="E4" s="14" t="s">
        <v>29</v>
      </c>
      <c r="F4" s="14" t="s">
        <v>30</v>
      </c>
      <c r="G4" s="14" t="s">
        <v>29</v>
      </c>
      <c r="H4" s="7"/>
      <c r="J4" s="1" t="s">
        <v>349</v>
      </c>
    </row>
    <row r="5" spans="1:12" ht="15.75" customHeight="1">
      <c r="A5" s="4">
        <v>4</v>
      </c>
      <c r="B5" s="17">
        <v>11.2</v>
      </c>
      <c r="C5" s="17">
        <v>7.2</v>
      </c>
      <c r="D5" s="9">
        <f t="shared" si="0"/>
        <v>1.5555555555555554</v>
      </c>
      <c r="E5" s="7"/>
      <c r="F5" s="14" t="s">
        <v>30</v>
      </c>
      <c r="G5" s="7"/>
      <c r="H5" s="7"/>
    </row>
    <row r="6" spans="1:12" ht="15.75" customHeight="1">
      <c r="A6" s="4">
        <v>5</v>
      </c>
      <c r="B6" s="17">
        <v>10.3</v>
      </c>
      <c r="C6" s="17">
        <v>7.7</v>
      </c>
      <c r="D6" s="9">
        <f t="shared" si="0"/>
        <v>1.3376623376623378</v>
      </c>
      <c r="E6" s="7"/>
      <c r="F6" s="14" t="s">
        <v>30</v>
      </c>
      <c r="G6" s="7"/>
      <c r="H6" s="7"/>
    </row>
    <row r="7" spans="1:12" ht="15.75" customHeight="1">
      <c r="A7" s="4">
        <v>6</v>
      </c>
      <c r="B7" s="17">
        <v>11.3</v>
      </c>
      <c r="C7" s="17">
        <v>7.4</v>
      </c>
      <c r="D7" s="9">
        <f t="shared" si="0"/>
        <v>1.527027027027027</v>
      </c>
      <c r="E7" s="7"/>
      <c r="F7" s="14" t="s">
        <v>30</v>
      </c>
      <c r="G7" s="7"/>
      <c r="H7" s="7"/>
    </row>
    <row r="8" spans="1:12" ht="15.75" customHeight="1">
      <c r="A8" s="4">
        <v>7</v>
      </c>
      <c r="B8" s="17">
        <v>11.6</v>
      </c>
      <c r="C8" s="17">
        <v>7.7</v>
      </c>
      <c r="D8" s="9">
        <f t="shared" si="0"/>
        <v>1.5064935064935063</v>
      </c>
      <c r="E8" s="7"/>
      <c r="F8" s="14" t="s">
        <v>30</v>
      </c>
      <c r="G8" s="7"/>
      <c r="H8" s="7"/>
    </row>
    <row r="9" spans="1:12" ht="15.75" customHeight="1">
      <c r="A9" s="4">
        <v>8</v>
      </c>
      <c r="B9" s="17">
        <v>10.4</v>
      </c>
      <c r="C9" s="17">
        <v>7.9</v>
      </c>
      <c r="D9" s="9">
        <f t="shared" si="0"/>
        <v>1.3164556962025316</v>
      </c>
      <c r="E9" s="7"/>
      <c r="F9" s="14" t="s">
        <v>30</v>
      </c>
      <c r="G9" s="7"/>
      <c r="H9" s="7"/>
    </row>
    <row r="10" spans="1:12" ht="15.75" customHeight="1">
      <c r="A10" s="4">
        <v>9</v>
      </c>
      <c r="B10" s="17">
        <v>9.5</v>
      </c>
      <c r="C10" s="17">
        <v>7.6</v>
      </c>
      <c r="D10" s="9">
        <f t="shared" si="0"/>
        <v>1.25</v>
      </c>
      <c r="E10" s="7"/>
      <c r="F10" s="14" t="s">
        <v>30</v>
      </c>
      <c r="G10" s="7"/>
      <c r="H10" s="7"/>
    </row>
    <row r="11" spans="1:12" ht="15.75" customHeight="1">
      <c r="A11" s="4">
        <v>10</v>
      </c>
      <c r="B11" s="17">
        <v>11.6</v>
      </c>
      <c r="C11" s="17">
        <v>7.4</v>
      </c>
      <c r="D11" s="9">
        <f t="shared" si="0"/>
        <v>1.5675675675675675</v>
      </c>
      <c r="E11" s="14" t="s">
        <v>35</v>
      </c>
      <c r="F11" s="14" t="s">
        <v>30</v>
      </c>
      <c r="G11" s="7"/>
      <c r="H11" s="7"/>
    </row>
    <row r="12" spans="1:12" ht="15.75" customHeight="1">
      <c r="A12" s="8">
        <v>11</v>
      </c>
      <c r="B12" s="17">
        <v>10.5</v>
      </c>
      <c r="C12" s="17">
        <v>7.9</v>
      </c>
      <c r="D12" s="9">
        <f t="shared" si="0"/>
        <v>1.3291139240506329</v>
      </c>
      <c r="E12" s="14" t="s">
        <v>35</v>
      </c>
      <c r="F12" s="14" t="s">
        <v>30</v>
      </c>
      <c r="G12" s="7"/>
      <c r="H12" s="7"/>
    </row>
    <row r="13" spans="1:12" ht="15.75" customHeight="1">
      <c r="A13" s="8">
        <v>12</v>
      </c>
      <c r="B13" s="17">
        <v>10</v>
      </c>
      <c r="C13" s="17">
        <v>7.9</v>
      </c>
      <c r="D13" s="9">
        <f t="shared" si="0"/>
        <v>1.2658227848101264</v>
      </c>
      <c r="E13" s="14" t="s">
        <v>29</v>
      </c>
      <c r="F13" s="14" t="s">
        <v>30</v>
      </c>
      <c r="G13" s="7"/>
      <c r="H13" s="7"/>
    </row>
    <row r="14" spans="1:12" ht="15.75" customHeight="1">
      <c r="A14" s="8">
        <v>13</v>
      </c>
      <c r="B14" s="17">
        <v>9</v>
      </c>
      <c r="C14" s="17">
        <v>7.5</v>
      </c>
      <c r="D14" s="9">
        <f t="shared" si="0"/>
        <v>1.2</v>
      </c>
      <c r="E14" s="14" t="s">
        <v>29</v>
      </c>
      <c r="F14" s="14" t="s">
        <v>30</v>
      </c>
      <c r="G14" s="7"/>
      <c r="H14" s="7"/>
    </row>
    <row r="15" spans="1:12" ht="15.75" customHeight="1">
      <c r="A15" s="8">
        <v>14</v>
      </c>
      <c r="B15" s="17">
        <v>6.2</v>
      </c>
      <c r="C15" s="17">
        <v>7.4</v>
      </c>
      <c r="D15" s="9">
        <f t="shared" si="0"/>
        <v>0.83783783783783783</v>
      </c>
      <c r="E15" s="14" t="s">
        <v>29</v>
      </c>
      <c r="F15" s="14" t="s">
        <v>30</v>
      </c>
      <c r="G15" s="7"/>
      <c r="H15" s="7"/>
    </row>
    <row r="16" spans="1:12" ht="15.75" customHeight="1">
      <c r="A16" s="8">
        <v>15</v>
      </c>
      <c r="B16" s="17">
        <v>8</v>
      </c>
      <c r="C16" s="17">
        <v>8</v>
      </c>
      <c r="D16" s="9">
        <f t="shared" si="0"/>
        <v>1</v>
      </c>
      <c r="E16" s="14" t="s">
        <v>29</v>
      </c>
      <c r="F16" s="14" t="s">
        <v>30</v>
      </c>
      <c r="G16" s="7"/>
      <c r="H16" s="7"/>
      <c r="J16" s="1" t="s">
        <v>350</v>
      </c>
    </row>
    <row r="17" spans="1:10" ht="15.75" customHeight="1">
      <c r="A17" s="8">
        <v>16</v>
      </c>
      <c r="B17" s="17">
        <v>9.1999999999999993</v>
      </c>
      <c r="C17" s="17">
        <v>7.4</v>
      </c>
      <c r="D17" s="9">
        <f t="shared" si="0"/>
        <v>1.243243243243243</v>
      </c>
      <c r="E17" s="14" t="s">
        <v>29</v>
      </c>
      <c r="F17" s="14" t="s">
        <v>30</v>
      </c>
      <c r="G17" s="7"/>
      <c r="H17" s="7"/>
    </row>
    <row r="18" spans="1:10" ht="15.75" customHeight="1">
      <c r="A18" s="8">
        <v>17</v>
      </c>
      <c r="B18" s="17">
        <v>9.3000000000000007</v>
      </c>
      <c r="C18" s="17">
        <v>6.6</v>
      </c>
      <c r="D18" s="9">
        <f t="shared" si="0"/>
        <v>1.4090909090909092</v>
      </c>
      <c r="E18" s="14" t="s">
        <v>29</v>
      </c>
      <c r="F18" s="14" t="s">
        <v>30</v>
      </c>
      <c r="G18" s="7"/>
      <c r="H18" s="7"/>
    </row>
    <row r="19" spans="1:10" ht="15.75" customHeight="1">
      <c r="A19" s="8">
        <v>18</v>
      </c>
      <c r="B19" s="17">
        <v>9.5</v>
      </c>
      <c r="C19" s="17">
        <v>7.7</v>
      </c>
      <c r="D19" s="9">
        <f t="shared" si="0"/>
        <v>1.2337662337662338</v>
      </c>
      <c r="E19" s="14" t="s">
        <v>29</v>
      </c>
      <c r="F19" s="14" t="s">
        <v>30</v>
      </c>
      <c r="G19" s="7"/>
      <c r="H19" s="7"/>
    </row>
    <row r="20" spans="1:10" ht="15.75" customHeight="1">
      <c r="A20" s="8">
        <v>19</v>
      </c>
      <c r="B20" s="17">
        <v>11.3</v>
      </c>
      <c r="C20" s="17">
        <v>7.9</v>
      </c>
      <c r="D20" s="9">
        <f t="shared" si="0"/>
        <v>1.4303797468354431</v>
      </c>
      <c r="E20" s="14" t="s">
        <v>35</v>
      </c>
      <c r="F20" s="14" t="s">
        <v>30</v>
      </c>
      <c r="G20" s="7"/>
      <c r="H20" s="7"/>
    </row>
    <row r="21" spans="1:10" ht="15.75" customHeight="1">
      <c r="A21" s="8">
        <v>20</v>
      </c>
      <c r="B21" s="17">
        <v>10.4</v>
      </c>
      <c r="C21" s="17">
        <v>7.6</v>
      </c>
      <c r="D21" s="9">
        <f t="shared" si="0"/>
        <v>1.368421052631579</v>
      </c>
      <c r="E21" s="14" t="s">
        <v>35</v>
      </c>
      <c r="F21" s="14" t="s">
        <v>30</v>
      </c>
      <c r="G21" s="7"/>
      <c r="H21" s="7"/>
      <c r="J21" s="1" t="s">
        <v>351</v>
      </c>
    </row>
    <row r="22" spans="1:10" ht="15.75" customHeight="1">
      <c r="A22" s="8">
        <v>21</v>
      </c>
      <c r="B22" s="17">
        <v>11.5</v>
      </c>
      <c r="C22" s="17">
        <v>7.9</v>
      </c>
      <c r="D22" s="9">
        <f t="shared" si="0"/>
        <v>1.4556962025316456</v>
      </c>
      <c r="E22" s="14" t="s">
        <v>29</v>
      </c>
      <c r="F22" s="14" t="s">
        <v>30</v>
      </c>
      <c r="G22" s="7"/>
      <c r="H22" s="7"/>
    </row>
    <row r="23" spans="1:10" ht="15.75" customHeight="1">
      <c r="A23" s="8">
        <v>22</v>
      </c>
      <c r="B23" s="17">
        <v>10</v>
      </c>
      <c r="C23" s="17">
        <v>7.2</v>
      </c>
      <c r="D23" s="9">
        <f t="shared" si="0"/>
        <v>1.3888888888888888</v>
      </c>
      <c r="E23" s="14" t="s">
        <v>29</v>
      </c>
      <c r="F23" s="14" t="s">
        <v>30</v>
      </c>
      <c r="G23" s="7"/>
      <c r="H23" s="7"/>
    </row>
    <row r="24" spans="1:10" ht="15.75" customHeight="1">
      <c r="A24" s="8">
        <v>23</v>
      </c>
      <c r="B24" s="17">
        <v>9.9</v>
      </c>
      <c r="C24" s="17">
        <v>7.1</v>
      </c>
      <c r="D24" s="9">
        <f t="shared" si="0"/>
        <v>1.3943661971830987</v>
      </c>
      <c r="E24" s="14" t="s">
        <v>35</v>
      </c>
      <c r="F24" s="14" t="s">
        <v>30</v>
      </c>
      <c r="G24" s="7"/>
      <c r="H24" s="7"/>
    </row>
    <row r="25" spans="1:10" ht="15.75" customHeight="1">
      <c r="A25" s="8">
        <v>24</v>
      </c>
      <c r="B25" s="17">
        <v>8.4</v>
      </c>
      <c r="C25" s="17">
        <v>6.8</v>
      </c>
      <c r="D25" s="9">
        <f t="shared" si="0"/>
        <v>1.2352941176470589</v>
      </c>
      <c r="E25" s="14" t="s">
        <v>29</v>
      </c>
      <c r="F25" s="14" t="s">
        <v>30</v>
      </c>
      <c r="G25" s="7"/>
      <c r="H25" s="7"/>
    </row>
    <row r="26" spans="1:10" ht="15.75" customHeight="1">
      <c r="A26" s="8">
        <v>25</v>
      </c>
      <c r="B26" s="17">
        <v>8.3000000000000007</v>
      </c>
      <c r="C26" s="17">
        <v>7</v>
      </c>
      <c r="D26" s="9">
        <f t="shared" si="0"/>
        <v>1.1857142857142857</v>
      </c>
      <c r="E26" s="14" t="s">
        <v>35</v>
      </c>
      <c r="F26" s="14" t="s">
        <v>30</v>
      </c>
      <c r="G26" s="7"/>
      <c r="H26" s="7"/>
    </row>
    <row r="27" spans="1:10" ht="15.75" customHeight="1">
      <c r="A27" s="4" t="s">
        <v>10</v>
      </c>
      <c r="B27" s="5">
        <f t="shared" ref="B27:D27" si="1">AVERAGE(B2:B26)</f>
        <v>9.8879999999999999</v>
      </c>
      <c r="C27" s="5">
        <f t="shared" si="1"/>
        <v>7.4800000000000013</v>
      </c>
      <c r="D27" s="9">
        <f t="shared" si="1"/>
        <v>1.3227519682770597</v>
      </c>
      <c r="E27" s="7"/>
      <c r="F27" s="7"/>
      <c r="G27" s="7"/>
      <c r="H27" s="7"/>
    </row>
    <row r="28" spans="1:10" ht="15.75" customHeight="1">
      <c r="A28" s="4" t="s">
        <v>11</v>
      </c>
      <c r="B28" s="5">
        <f t="shared" ref="B28:D28" si="2">MIN(B3:B26)</f>
        <v>6.2</v>
      </c>
      <c r="C28" s="5">
        <f t="shared" si="2"/>
        <v>6.6</v>
      </c>
      <c r="D28" s="9">
        <f t="shared" si="2"/>
        <v>0.83783783783783783</v>
      </c>
      <c r="E28" s="7"/>
      <c r="F28" s="7"/>
      <c r="G28" s="7"/>
      <c r="H28" s="7"/>
    </row>
    <row r="29" spans="1:10" ht="15.75" customHeight="1">
      <c r="A29" s="4" t="s">
        <v>12</v>
      </c>
      <c r="B29" s="5">
        <f t="shared" ref="B29:D29" si="3">MAX(B4:B26)</f>
        <v>11.6</v>
      </c>
      <c r="C29" s="5">
        <f t="shared" si="3"/>
        <v>8</v>
      </c>
      <c r="D29" s="9">
        <f t="shared" si="3"/>
        <v>1.5675675675675675</v>
      </c>
      <c r="E29" s="7"/>
      <c r="F29" s="7"/>
      <c r="G29" s="7"/>
      <c r="H29" s="7"/>
    </row>
    <row r="30" spans="1:10" ht="15.75" customHeight="1">
      <c r="A30" s="2"/>
      <c r="B30" s="7"/>
      <c r="C30" s="7"/>
      <c r="D30" s="10"/>
      <c r="E30" s="7"/>
      <c r="F30" s="7"/>
      <c r="G30" s="7"/>
      <c r="H30" s="7"/>
    </row>
    <row r="31" spans="1:10" ht="15.75" customHeight="1">
      <c r="A31" s="2"/>
      <c r="B31" s="7"/>
      <c r="C31" s="7"/>
      <c r="D31" s="10"/>
      <c r="E31" s="7"/>
      <c r="F31" s="7"/>
      <c r="G31" s="7"/>
      <c r="H31" s="7"/>
    </row>
    <row r="32" spans="1:10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37.6</v>
      </c>
      <c r="C33" s="17">
        <v>11.2</v>
      </c>
      <c r="D33" s="13" t="s">
        <v>352</v>
      </c>
      <c r="E33" s="17">
        <v>4.5</v>
      </c>
      <c r="F33" s="14" t="s">
        <v>41</v>
      </c>
      <c r="G33" s="14" t="s">
        <v>303</v>
      </c>
      <c r="H33" s="7"/>
    </row>
    <row r="34" spans="1:8" ht="15.75" customHeight="1">
      <c r="A34" s="4">
        <v>2</v>
      </c>
      <c r="B34" s="17">
        <v>32.799999999999997</v>
      </c>
      <c r="C34" s="17">
        <v>10</v>
      </c>
      <c r="D34" s="13">
        <v>4</v>
      </c>
      <c r="E34" s="17">
        <v>4.8</v>
      </c>
      <c r="F34" s="14" t="s">
        <v>41</v>
      </c>
      <c r="G34" s="7"/>
      <c r="H34" s="7"/>
    </row>
    <row r="35" spans="1:8" ht="15.75" customHeight="1">
      <c r="A35" s="4">
        <v>3</v>
      </c>
      <c r="B35" s="17">
        <v>38.1</v>
      </c>
      <c r="C35" s="17">
        <v>10.5</v>
      </c>
      <c r="D35" s="13">
        <v>4</v>
      </c>
      <c r="E35" s="14">
        <v>4</v>
      </c>
      <c r="F35" s="14" t="s">
        <v>41</v>
      </c>
      <c r="G35" s="7"/>
      <c r="H35" s="7"/>
    </row>
    <row r="36" spans="1:8" ht="15.75" customHeight="1">
      <c r="A36" s="4">
        <v>4</v>
      </c>
      <c r="B36" s="17">
        <v>35</v>
      </c>
      <c r="C36" s="17">
        <v>12</v>
      </c>
      <c r="D36" s="13">
        <v>4</v>
      </c>
      <c r="E36" s="17">
        <v>4.5</v>
      </c>
      <c r="F36" s="14" t="s">
        <v>41</v>
      </c>
      <c r="G36" s="7"/>
      <c r="H36" s="7"/>
    </row>
    <row r="37" spans="1:8" ht="15.75" customHeight="1">
      <c r="A37" s="4">
        <v>5</v>
      </c>
      <c r="B37" s="17">
        <v>39.5</v>
      </c>
      <c r="C37" s="17">
        <v>12.5</v>
      </c>
      <c r="D37" s="13">
        <v>4</v>
      </c>
      <c r="E37" s="17" t="s">
        <v>353</v>
      </c>
      <c r="F37" s="14" t="s">
        <v>41</v>
      </c>
      <c r="G37" s="7"/>
      <c r="H37" s="7"/>
    </row>
    <row r="38" spans="1:8" ht="15.75" customHeight="1">
      <c r="A38" s="4">
        <v>6</v>
      </c>
      <c r="B38" s="17">
        <v>39</v>
      </c>
      <c r="C38" s="17">
        <v>12.5</v>
      </c>
      <c r="D38" s="13">
        <v>4</v>
      </c>
      <c r="E38" s="17">
        <v>8.4</v>
      </c>
      <c r="F38" s="27"/>
      <c r="G38" s="24"/>
      <c r="H38" s="7"/>
    </row>
    <row r="39" spans="1:8" ht="15.75" customHeight="1">
      <c r="A39" s="4">
        <v>7</v>
      </c>
      <c r="B39" s="17">
        <v>39</v>
      </c>
      <c r="C39" s="17">
        <v>12.5</v>
      </c>
      <c r="D39" s="13">
        <v>4</v>
      </c>
      <c r="E39" s="17">
        <v>5.7</v>
      </c>
      <c r="F39" s="27"/>
      <c r="G39" s="24"/>
      <c r="H39" s="7"/>
    </row>
    <row r="40" spans="1:8" ht="15.75" customHeight="1">
      <c r="A40" s="4">
        <v>8</v>
      </c>
      <c r="B40" s="17">
        <v>35</v>
      </c>
      <c r="C40" s="17">
        <v>11.5</v>
      </c>
      <c r="D40" s="13">
        <v>4</v>
      </c>
      <c r="E40" s="17">
        <v>8</v>
      </c>
      <c r="F40" s="27"/>
      <c r="G40" s="24"/>
      <c r="H40" s="7"/>
    </row>
    <row r="41" spans="1:8" ht="15.75" customHeight="1">
      <c r="A41" s="4">
        <v>9</v>
      </c>
      <c r="B41" s="17">
        <v>35</v>
      </c>
      <c r="C41" s="17">
        <v>11.5</v>
      </c>
      <c r="D41" s="13">
        <v>4</v>
      </c>
      <c r="E41" s="17">
        <v>6</v>
      </c>
      <c r="F41" s="27"/>
      <c r="G41" s="24"/>
      <c r="H41" s="7"/>
    </row>
    <row r="42" spans="1:8" ht="15.75" customHeight="1">
      <c r="A42" s="4">
        <v>10</v>
      </c>
      <c r="B42" s="17">
        <v>35</v>
      </c>
      <c r="C42" s="17">
        <v>12</v>
      </c>
      <c r="D42" s="13">
        <v>4</v>
      </c>
      <c r="E42" s="17">
        <v>6</v>
      </c>
      <c r="F42" s="27"/>
      <c r="G42" s="24"/>
      <c r="H42" s="7"/>
    </row>
    <row r="43" spans="1:8" ht="15.75" customHeight="1">
      <c r="A43" s="8">
        <v>11</v>
      </c>
      <c r="B43" s="17">
        <v>36.5</v>
      </c>
      <c r="C43" s="17">
        <v>11.5</v>
      </c>
      <c r="D43" s="13">
        <v>4</v>
      </c>
      <c r="E43" s="17">
        <v>4.5</v>
      </c>
      <c r="F43" s="7"/>
      <c r="G43" s="7"/>
      <c r="H43" s="7"/>
    </row>
    <row r="44" spans="1:8" ht="15.75" customHeight="1">
      <c r="A44" s="8">
        <v>12</v>
      </c>
      <c r="B44" s="1">
        <v>34</v>
      </c>
      <c r="C44" s="1">
        <v>11</v>
      </c>
      <c r="D44" s="12">
        <v>4</v>
      </c>
      <c r="E44" s="1">
        <v>7</v>
      </c>
      <c r="F44" s="7"/>
      <c r="G44" s="7"/>
      <c r="H44" s="7"/>
    </row>
    <row r="45" spans="1:8" ht="15.75" customHeight="1">
      <c r="A45" s="8">
        <v>13</v>
      </c>
      <c r="B45" s="1">
        <v>32.5</v>
      </c>
      <c r="C45" s="1">
        <v>12</v>
      </c>
      <c r="D45" s="12">
        <v>4</v>
      </c>
      <c r="E45" s="1">
        <v>5.0999999999999996</v>
      </c>
      <c r="F45" s="7"/>
      <c r="G45" s="7"/>
      <c r="H45" s="7"/>
    </row>
    <row r="46" spans="1:8" ht="15.75" customHeight="1">
      <c r="A46" s="8">
        <v>14</v>
      </c>
      <c r="B46" s="1">
        <v>37.5</v>
      </c>
      <c r="C46" s="1">
        <v>12.5</v>
      </c>
      <c r="D46" s="12">
        <v>4</v>
      </c>
      <c r="E46" s="1">
        <v>5</v>
      </c>
      <c r="F46" s="7"/>
      <c r="G46" s="7"/>
      <c r="H46" s="7"/>
    </row>
    <row r="47" spans="1:8" ht="15.75" customHeight="1">
      <c r="A47" s="8">
        <v>15</v>
      </c>
      <c r="B47" s="1">
        <v>33.5</v>
      </c>
      <c r="C47" s="1">
        <v>12</v>
      </c>
      <c r="D47" s="12">
        <v>4</v>
      </c>
      <c r="E47" s="1">
        <v>7</v>
      </c>
      <c r="F47" s="7"/>
      <c r="G47" s="7"/>
      <c r="H47" s="7"/>
    </row>
    <row r="48" spans="1:8" ht="15.75" customHeight="1">
      <c r="A48" s="8">
        <v>16</v>
      </c>
      <c r="B48" s="1">
        <v>32</v>
      </c>
      <c r="C48" s="1">
        <v>10</v>
      </c>
      <c r="D48" s="12">
        <v>4</v>
      </c>
      <c r="E48" s="1">
        <v>4.3</v>
      </c>
      <c r="F48" s="7"/>
      <c r="G48" s="14" t="s">
        <v>303</v>
      </c>
      <c r="H48" s="7"/>
    </row>
    <row r="49" spans="1:8" ht="15.75" customHeight="1">
      <c r="A49" s="8">
        <v>17</v>
      </c>
      <c r="B49" s="1">
        <v>35</v>
      </c>
      <c r="C49" s="1">
        <v>12.5</v>
      </c>
      <c r="D49" s="12">
        <v>4</v>
      </c>
      <c r="E49" s="1">
        <v>6</v>
      </c>
      <c r="F49" s="7"/>
      <c r="G49" s="14" t="s">
        <v>303</v>
      </c>
      <c r="H49" s="7"/>
    </row>
    <row r="50" spans="1:8" ht="15.75" customHeight="1">
      <c r="A50" s="8">
        <v>18</v>
      </c>
      <c r="B50" s="1">
        <v>32</v>
      </c>
      <c r="C50" s="1">
        <v>11.5</v>
      </c>
      <c r="D50" s="12">
        <v>4</v>
      </c>
      <c r="E50" s="1" t="s">
        <v>353</v>
      </c>
      <c r="F50" s="7"/>
      <c r="G50" s="14" t="s">
        <v>303</v>
      </c>
      <c r="H50" s="7"/>
    </row>
    <row r="51" spans="1:8" ht="15.75" customHeight="1">
      <c r="A51" s="8">
        <v>19</v>
      </c>
      <c r="B51" s="1">
        <v>32</v>
      </c>
      <c r="C51" s="1">
        <v>11</v>
      </c>
      <c r="D51" s="12">
        <v>4</v>
      </c>
      <c r="E51" s="1">
        <v>4</v>
      </c>
      <c r="F51" s="7"/>
      <c r="G51" s="7"/>
      <c r="H51" s="7"/>
    </row>
    <row r="52" spans="1:8" ht="15.75" customHeight="1">
      <c r="A52" s="8">
        <v>20</v>
      </c>
      <c r="B52" s="17">
        <v>37.5</v>
      </c>
      <c r="C52" s="17">
        <v>12</v>
      </c>
      <c r="D52" s="13">
        <v>4</v>
      </c>
      <c r="E52" s="14">
        <v>5</v>
      </c>
      <c r="F52" s="27"/>
      <c r="G52" s="24"/>
      <c r="H52" s="7"/>
    </row>
    <row r="53" spans="1:8" ht="15.75" customHeight="1">
      <c r="A53" s="8">
        <v>21</v>
      </c>
      <c r="B53" s="17">
        <v>36.5</v>
      </c>
      <c r="C53" s="17">
        <v>13</v>
      </c>
      <c r="D53" s="13">
        <v>4</v>
      </c>
      <c r="E53" s="17">
        <v>5.5</v>
      </c>
      <c r="F53" s="27"/>
      <c r="G53" s="24"/>
      <c r="H53" s="7"/>
    </row>
    <row r="54" spans="1:8" ht="14">
      <c r="A54" s="8">
        <v>22</v>
      </c>
      <c r="B54" s="17">
        <v>32.5</v>
      </c>
      <c r="C54" s="17">
        <v>12</v>
      </c>
      <c r="D54" s="13" t="s">
        <v>339</v>
      </c>
      <c r="E54" s="17">
        <v>6.5</v>
      </c>
      <c r="F54" s="27"/>
      <c r="G54" s="24"/>
      <c r="H54" s="7"/>
    </row>
    <row r="55" spans="1:8" ht="14">
      <c r="A55" s="8">
        <v>23</v>
      </c>
      <c r="B55" s="17">
        <v>33.5</v>
      </c>
      <c r="C55" s="17">
        <v>11.5</v>
      </c>
      <c r="D55" s="13">
        <v>4</v>
      </c>
      <c r="E55" s="17">
        <v>2</v>
      </c>
      <c r="F55" s="27"/>
      <c r="G55" s="24"/>
      <c r="H55" s="7"/>
    </row>
    <row r="56" spans="1:8" ht="14">
      <c r="A56" s="8">
        <v>24</v>
      </c>
      <c r="B56" s="17">
        <v>33</v>
      </c>
      <c r="C56" s="17">
        <v>10.5</v>
      </c>
      <c r="D56" s="13">
        <v>4</v>
      </c>
      <c r="E56" s="17">
        <v>5</v>
      </c>
      <c r="F56" s="27"/>
      <c r="G56" s="24"/>
      <c r="H56" s="7"/>
    </row>
    <row r="57" spans="1:8" ht="14">
      <c r="A57" s="8">
        <v>25</v>
      </c>
      <c r="B57" s="17">
        <v>35</v>
      </c>
      <c r="C57" s="17">
        <v>11.5</v>
      </c>
      <c r="D57" s="13">
        <v>4</v>
      </c>
      <c r="E57" s="17">
        <v>5.5</v>
      </c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35.159999999999997</v>
      </c>
      <c r="C58" s="5">
        <f t="shared" si="4"/>
        <v>11.628</v>
      </c>
      <c r="D58" s="13" t="s">
        <v>18</v>
      </c>
      <c r="E58" s="7"/>
      <c r="F58" s="27"/>
      <c r="G58" s="24"/>
      <c r="H58" s="7"/>
    </row>
    <row r="59" spans="1:8" ht="14">
      <c r="A59" s="4" t="s">
        <v>11</v>
      </c>
      <c r="B59" s="5">
        <f t="shared" ref="B59:D59" si="5">MIN(B33:B57)</f>
        <v>32</v>
      </c>
      <c r="C59" s="5">
        <f t="shared" si="5"/>
        <v>10</v>
      </c>
      <c r="D59" s="11">
        <f t="shared" si="5"/>
        <v>4</v>
      </c>
      <c r="E59" s="7"/>
      <c r="F59" s="27"/>
      <c r="G59" s="24"/>
      <c r="H59" s="7"/>
    </row>
    <row r="60" spans="1:8" ht="14">
      <c r="A60" s="4" t="s">
        <v>12</v>
      </c>
      <c r="B60" s="5">
        <f t="shared" ref="B60:D60" si="6">MAX(B34:B58)</f>
        <v>39.5</v>
      </c>
      <c r="C60" s="5">
        <f t="shared" si="6"/>
        <v>13</v>
      </c>
      <c r="D60" s="11">
        <f t="shared" si="6"/>
        <v>4</v>
      </c>
      <c r="E60" s="7"/>
      <c r="F60" s="27"/>
      <c r="G60" s="24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3" t="s">
        <v>22</v>
      </c>
      <c r="E62" s="24"/>
      <c r="F62" s="14" t="s">
        <v>23</v>
      </c>
      <c r="G62" s="14" t="s">
        <v>24</v>
      </c>
      <c r="H62" s="14" t="s">
        <v>25</v>
      </c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 t="s">
        <v>26</v>
      </c>
      <c r="B64" s="7" t="s">
        <v>27</v>
      </c>
      <c r="C64" s="7"/>
      <c r="D64" s="10"/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3">
      <c r="D66" s="16"/>
    </row>
    <row r="67" spans="1:8" ht="13">
      <c r="D67" s="16"/>
    </row>
    <row r="68" spans="1:8" ht="13">
      <c r="D68" s="16"/>
    </row>
    <row r="69" spans="1:8" ht="13">
      <c r="D69" s="16"/>
    </row>
    <row r="70" spans="1:8" ht="13">
      <c r="D70" s="16"/>
    </row>
    <row r="71" spans="1:8" ht="13">
      <c r="D71" s="16"/>
    </row>
    <row r="72" spans="1:8" ht="13">
      <c r="D72" s="16"/>
    </row>
    <row r="73" spans="1:8" ht="13">
      <c r="D73" s="16"/>
    </row>
    <row r="74" spans="1:8" ht="13"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</sheetData>
  <mergeCells count="14">
    <mergeCell ref="F60:G60"/>
    <mergeCell ref="D62:E62"/>
    <mergeCell ref="F38:G38"/>
    <mergeCell ref="F39:G39"/>
    <mergeCell ref="F40:G40"/>
    <mergeCell ref="F41:G41"/>
    <mergeCell ref="F42:G42"/>
    <mergeCell ref="F52:G52"/>
    <mergeCell ref="F53:G53"/>
    <mergeCell ref="F54:G54"/>
    <mergeCell ref="F55:G55"/>
    <mergeCell ref="F56:G56"/>
    <mergeCell ref="F58:G58"/>
    <mergeCell ref="F59:G59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AR83"/>
  <sheetViews>
    <sheetView workbookViewId="0"/>
  </sheetViews>
  <sheetFormatPr baseColWidth="10" defaultColWidth="12.6640625" defaultRowHeight="15.75" customHeight="1"/>
  <cols>
    <col min="1" max="1" width="15.1640625" customWidth="1"/>
  </cols>
  <sheetData>
    <row r="1" spans="1:44" ht="15.75" customHeight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J1" s="20"/>
      <c r="K1" s="7"/>
      <c r="L1" s="7"/>
      <c r="M1" s="7"/>
      <c r="N1" s="7"/>
      <c r="O1" s="7"/>
      <c r="P1" s="7"/>
      <c r="Q1" s="7"/>
      <c r="S1" s="20"/>
      <c r="T1" s="7"/>
      <c r="U1" s="7"/>
      <c r="V1" s="7"/>
      <c r="W1" s="7"/>
      <c r="X1" s="7"/>
      <c r="Y1" s="7"/>
      <c r="Z1" s="7"/>
      <c r="AA1" s="7"/>
      <c r="AB1" s="20"/>
      <c r="AC1" s="7"/>
      <c r="AD1" s="7"/>
      <c r="AE1" s="7"/>
      <c r="AF1" s="7"/>
      <c r="AG1" s="7"/>
      <c r="AH1" s="7"/>
      <c r="AI1" s="7"/>
      <c r="AK1" s="20"/>
      <c r="AL1" s="7"/>
      <c r="AM1" s="7"/>
      <c r="AN1" s="7"/>
      <c r="AO1" s="7"/>
      <c r="AP1" s="7"/>
      <c r="AQ1" s="7"/>
      <c r="AR1" s="7"/>
    </row>
    <row r="2" spans="1:44" ht="15.75" customHeight="1">
      <c r="A2" s="4">
        <v>1</v>
      </c>
      <c r="B2" s="5">
        <v>10.6</v>
      </c>
      <c r="C2" s="5">
        <v>8.6</v>
      </c>
      <c r="D2" s="9">
        <f t="shared" ref="D2:D26" si="0">B2/C2</f>
        <v>1.2325581395348837</v>
      </c>
      <c r="E2" s="7" t="s">
        <v>354</v>
      </c>
      <c r="F2" s="7" t="s">
        <v>30</v>
      </c>
      <c r="G2" s="7"/>
      <c r="H2" s="7"/>
      <c r="J2" s="7"/>
      <c r="K2" s="7"/>
      <c r="L2" s="7"/>
      <c r="M2" s="7"/>
      <c r="N2" s="7"/>
      <c r="O2" s="7"/>
      <c r="P2" s="7"/>
      <c r="Q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K2" s="7"/>
      <c r="AL2" s="7"/>
      <c r="AM2" s="7"/>
      <c r="AN2" s="7"/>
      <c r="AO2" s="7"/>
      <c r="AP2" s="7"/>
      <c r="AQ2" s="7"/>
      <c r="AR2" s="7"/>
    </row>
    <row r="3" spans="1:44" ht="15.75" customHeight="1">
      <c r="A3" s="4">
        <v>2</v>
      </c>
      <c r="B3" s="5">
        <v>11.7</v>
      </c>
      <c r="C3" s="5">
        <v>8.6</v>
      </c>
      <c r="D3" s="9">
        <f t="shared" si="0"/>
        <v>1.3604651162790697</v>
      </c>
      <c r="E3" s="7"/>
      <c r="F3" s="7" t="s">
        <v>30</v>
      </c>
      <c r="G3" s="7"/>
      <c r="H3" s="7"/>
      <c r="J3" s="5"/>
      <c r="K3" s="5"/>
      <c r="L3" s="5"/>
      <c r="M3" s="5"/>
      <c r="N3" s="7"/>
      <c r="O3" s="7"/>
      <c r="P3" s="7"/>
      <c r="Q3" s="7"/>
      <c r="S3" s="5"/>
      <c r="T3" s="5"/>
      <c r="U3" s="5"/>
      <c r="V3" s="5"/>
      <c r="W3" s="7"/>
      <c r="X3" s="7"/>
      <c r="Y3" s="7"/>
      <c r="Z3" s="7"/>
      <c r="AA3" s="7"/>
      <c r="AB3" s="5"/>
      <c r="AC3" s="5"/>
      <c r="AD3" s="5"/>
      <c r="AE3" s="5"/>
      <c r="AF3" s="7"/>
      <c r="AG3" s="7"/>
      <c r="AH3" s="7"/>
      <c r="AI3" s="7"/>
      <c r="AK3" s="5"/>
      <c r="AL3" s="5"/>
      <c r="AM3" s="5"/>
      <c r="AN3" s="5"/>
      <c r="AO3" s="7"/>
      <c r="AP3" s="7"/>
      <c r="AQ3" s="7"/>
      <c r="AR3" s="7"/>
    </row>
    <row r="4" spans="1:44" ht="15.75" customHeight="1">
      <c r="A4" s="4">
        <v>3</v>
      </c>
      <c r="B4" s="5">
        <v>10.3</v>
      </c>
      <c r="C4" s="5">
        <v>8.6</v>
      </c>
      <c r="D4" s="9">
        <f t="shared" si="0"/>
        <v>1.1976744186046513</v>
      </c>
      <c r="E4" s="7"/>
      <c r="F4" s="7" t="s">
        <v>30</v>
      </c>
      <c r="G4" s="7"/>
      <c r="H4" s="7"/>
      <c r="J4" s="5"/>
      <c r="K4" s="5"/>
      <c r="L4" s="5"/>
      <c r="M4" s="5"/>
      <c r="N4" s="7"/>
      <c r="O4" s="7"/>
      <c r="P4" s="7"/>
      <c r="Q4" s="7"/>
      <c r="S4" s="5"/>
      <c r="T4" s="5"/>
      <c r="U4" s="5"/>
      <c r="V4" s="5"/>
      <c r="W4" s="7"/>
      <c r="X4" s="7"/>
      <c r="Y4" s="7"/>
      <c r="Z4" s="7"/>
      <c r="AA4" s="7"/>
      <c r="AB4" s="5"/>
      <c r="AC4" s="5"/>
      <c r="AD4" s="5"/>
      <c r="AE4" s="5"/>
      <c r="AF4" s="7"/>
      <c r="AG4" s="7"/>
      <c r="AH4" s="7"/>
      <c r="AI4" s="7"/>
      <c r="AK4" s="5"/>
      <c r="AL4" s="5"/>
      <c r="AM4" s="5"/>
      <c r="AN4" s="5"/>
      <c r="AO4" s="7"/>
      <c r="AP4" s="7"/>
      <c r="AQ4" s="7"/>
      <c r="AR4" s="7"/>
    </row>
    <row r="5" spans="1:44" ht="15.75" customHeight="1">
      <c r="A5" s="4">
        <v>4</v>
      </c>
      <c r="B5" s="5">
        <v>9.6999999999999993</v>
      </c>
      <c r="C5" s="5">
        <v>8.6</v>
      </c>
      <c r="D5" s="9">
        <f t="shared" si="0"/>
        <v>1.1279069767441861</v>
      </c>
      <c r="E5" s="7"/>
      <c r="F5" s="7" t="s">
        <v>30</v>
      </c>
      <c r="G5" s="7"/>
      <c r="H5" s="7"/>
      <c r="J5" s="5"/>
      <c r="K5" s="5"/>
      <c r="L5" s="5"/>
      <c r="M5" s="5"/>
      <c r="N5" s="7"/>
      <c r="O5" s="7"/>
      <c r="P5" s="7"/>
      <c r="Q5" s="7"/>
      <c r="S5" s="5"/>
      <c r="T5" s="5"/>
      <c r="U5" s="5"/>
      <c r="V5" s="5"/>
      <c r="W5" s="7"/>
      <c r="X5" s="7"/>
      <c r="Y5" s="7"/>
      <c r="Z5" s="7"/>
      <c r="AA5" s="7"/>
      <c r="AB5" s="5"/>
      <c r="AC5" s="5"/>
      <c r="AD5" s="5"/>
      <c r="AE5" s="5"/>
      <c r="AF5" s="7"/>
      <c r="AG5" s="7"/>
      <c r="AH5" s="7"/>
      <c r="AI5" s="7"/>
      <c r="AK5" s="5"/>
      <c r="AL5" s="5"/>
      <c r="AM5" s="5"/>
      <c r="AN5" s="5"/>
      <c r="AO5" s="7"/>
      <c r="AP5" s="7"/>
      <c r="AQ5" s="7"/>
      <c r="AR5" s="7"/>
    </row>
    <row r="6" spans="1:44" ht="15.75" customHeight="1">
      <c r="A6" s="4">
        <v>5</v>
      </c>
      <c r="B6" s="5">
        <v>11.1</v>
      </c>
      <c r="C6" s="5">
        <v>8.9</v>
      </c>
      <c r="D6" s="9">
        <f t="shared" si="0"/>
        <v>1.247191011235955</v>
      </c>
      <c r="E6" s="7"/>
      <c r="F6" s="7" t="s">
        <v>30</v>
      </c>
      <c r="G6" s="7"/>
      <c r="H6" s="7"/>
      <c r="J6" s="5"/>
      <c r="K6" s="5"/>
      <c r="L6" s="5"/>
      <c r="M6" s="5"/>
      <c r="N6" s="7"/>
      <c r="O6" s="7"/>
      <c r="P6" s="7"/>
      <c r="Q6" s="7"/>
      <c r="S6" s="5"/>
      <c r="T6" s="5"/>
      <c r="U6" s="5"/>
      <c r="V6" s="5"/>
      <c r="W6" s="7"/>
      <c r="X6" s="7"/>
      <c r="Y6" s="7"/>
      <c r="Z6" s="7"/>
      <c r="AA6" s="7"/>
      <c r="AB6" s="5"/>
      <c r="AC6" s="5"/>
      <c r="AD6" s="5"/>
      <c r="AE6" s="5"/>
      <c r="AF6" s="7"/>
      <c r="AG6" s="7"/>
      <c r="AH6" s="7"/>
      <c r="AI6" s="7"/>
      <c r="AK6" s="5"/>
      <c r="AL6" s="5"/>
      <c r="AM6" s="5"/>
      <c r="AN6" s="5"/>
      <c r="AO6" s="7"/>
      <c r="AP6" s="7"/>
      <c r="AQ6" s="7"/>
      <c r="AR6" s="7"/>
    </row>
    <row r="7" spans="1:44" ht="15.75" customHeight="1">
      <c r="A7" s="4">
        <v>6</v>
      </c>
      <c r="B7" s="5">
        <v>7.9</v>
      </c>
      <c r="C7" s="5">
        <v>7</v>
      </c>
      <c r="D7" s="9">
        <f t="shared" si="0"/>
        <v>1.1285714285714286</v>
      </c>
      <c r="E7" s="7"/>
      <c r="F7" s="7" t="s">
        <v>30</v>
      </c>
      <c r="G7" s="7"/>
      <c r="H7" s="7"/>
      <c r="J7" s="5"/>
      <c r="K7" s="5"/>
      <c r="L7" s="5"/>
      <c r="M7" s="5"/>
      <c r="N7" s="7"/>
      <c r="O7" s="7"/>
      <c r="P7" s="7"/>
      <c r="Q7" s="7"/>
      <c r="S7" s="5"/>
      <c r="T7" s="5"/>
      <c r="U7" s="5"/>
      <c r="V7" s="5"/>
      <c r="W7" s="7"/>
      <c r="X7" s="7"/>
      <c r="Y7" s="7"/>
      <c r="Z7" s="7"/>
      <c r="AA7" s="7"/>
      <c r="AB7" s="5"/>
      <c r="AC7" s="5"/>
      <c r="AD7" s="5"/>
      <c r="AE7" s="5"/>
      <c r="AF7" s="7"/>
      <c r="AG7" s="7"/>
      <c r="AH7" s="7"/>
      <c r="AI7" s="7"/>
      <c r="AK7" s="5"/>
      <c r="AL7" s="5"/>
      <c r="AM7" s="5"/>
      <c r="AN7" s="5"/>
      <c r="AO7" s="7"/>
      <c r="AP7" s="7"/>
      <c r="AQ7" s="7"/>
      <c r="AR7" s="7"/>
    </row>
    <row r="8" spans="1:44" ht="15.75" customHeight="1">
      <c r="A8" s="4">
        <v>7</v>
      </c>
      <c r="B8" s="5">
        <v>10</v>
      </c>
      <c r="C8" s="5">
        <v>8.1999999999999993</v>
      </c>
      <c r="D8" s="9">
        <f t="shared" si="0"/>
        <v>1.2195121951219514</v>
      </c>
      <c r="E8" s="7"/>
      <c r="F8" s="7" t="s">
        <v>30</v>
      </c>
      <c r="G8" s="7"/>
      <c r="H8" s="7"/>
      <c r="J8" s="5"/>
      <c r="K8" s="5"/>
      <c r="L8" s="5"/>
      <c r="M8" s="5"/>
      <c r="N8" s="7"/>
      <c r="O8" s="7"/>
      <c r="P8" s="7"/>
      <c r="Q8" s="7"/>
      <c r="S8" s="5"/>
      <c r="T8" s="5"/>
      <c r="U8" s="5"/>
      <c r="V8" s="5"/>
      <c r="W8" s="7"/>
      <c r="X8" s="7"/>
      <c r="Y8" s="7"/>
      <c r="Z8" s="7"/>
      <c r="AA8" s="7"/>
      <c r="AB8" s="5"/>
      <c r="AC8" s="5"/>
      <c r="AD8" s="5"/>
      <c r="AE8" s="5"/>
      <c r="AF8" s="7"/>
      <c r="AG8" s="7"/>
      <c r="AH8" s="7"/>
      <c r="AI8" s="7"/>
      <c r="AK8" s="5"/>
      <c r="AL8" s="5"/>
      <c r="AM8" s="5"/>
      <c r="AN8" s="5"/>
      <c r="AO8" s="7"/>
      <c r="AP8" s="7"/>
      <c r="AQ8" s="7"/>
      <c r="AR8" s="7"/>
    </row>
    <row r="9" spans="1:44" ht="15.75" customHeight="1">
      <c r="A9" s="4">
        <v>8</v>
      </c>
      <c r="B9" s="5">
        <v>11.4</v>
      </c>
      <c r="C9" s="5">
        <v>9.1</v>
      </c>
      <c r="D9" s="9">
        <f t="shared" si="0"/>
        <v>1.2527472527472527</v>
      </c>
      <c r="E9" s="7"/>
      <c r="F9" s="7" t="s">
        <v>30</v>
      </c>
      <c r="G9" s="7"/>
      <c r="H9" s="7"/>
      <c r="J9" s="5"/>
      <c r="K9" s="5"/>
      <c r="L9" s="5"/>
      <c r="M9" s="5"/>
      <c r="N9" s="7"/>
      <c r="O9" s="7"/>
      <c r="P9" s="7"/>
      <c r="Q9" s="7"/>
      <c r="S9" s="5"/>
      <c r="T9" s="5"/>
      <c r="U9" s="5"/>
      <c r="V9" s="5"/>
      <c r="W9" s="7"/>
      <c r="X9" s="7"/>
      <c r="Y9" s="7"/>
      <c r="Z9" s="7"/>
      <c r="AA9" s="21"/>
      <c r="AB9" s="5"/>
      <c r="AC9" s="5"/>
      <c r="AD9" s="5"/>
      <c r="AE9" s="5"/>
      <c r="AF9" s="7"/>
      <c r="AG9" s="7"/>
      <c r="AH9" s="7"/>
      <c r="AI9" s="7"/>
      <c r="AK9" s="5"/>
      <c r="AL9" s="5"/>
      <c r="AM9" s="5"/>
      <c r="AN9" s="5"/>
      <c r="AO9" s="7"/>
      <c r="AP9" s="7"/>
      <c r="AQ9" s="7"/>
      <c r="AR9" s="7"/>
    </row>
    <row r="10" spans="1:44" ht="15.75" customHeight="1">
      <c r="A10" s="4">
        <v>9</v>
      </c>
      <c r="B10" s="5">
        <v>11.1</v>
      </c>
      <c r="C10" s="5">
        <v>8.4</v>
      </c>
      <c r="D10" s="9">
        <f t="shared" si="0"/>
        <v>1.3214285714285714</v>
      </c>
      <c r="E10" s="7"/>
      <c r="F10" s="7" t="s">
        <v>30</v>
      </c>
      <c r="G10" s="7"/>
      <c r="H10" s="7"/>
      <c r="J10" s="5"/>
      <c r="K10" s="5"/>
      <c r="L10" s="5"/>
      <c r="M10" s="5"/>
      <c r="N10" s="7"/>
      <c r="O10" s="7"/>
      <c r="P10" s="7"/>
      <c r="Q10" s="7"/>
      <c r="S10" s="5"/>
      <c r="T10" s="5"/>
      <c r="U10" s="5"/>
      <c r="V10" s="5"/>
      <c r="W10" s="7"/>
      <c r="X10" s="7"/>
      <c r="Y10" s="7"/>
      <c r="Z10" s="7"/>
      <c r="AA10" s="7"/>
      <c r="AB10" s="5"/>
      <c r="AC10" s="5"/>
      <c r="AD10" s="5"/>
      <c r="AE10" s="5"/>
      <c r="AF10" s="7"/>
      <c r="AG10" s="7"/>
      <c r="AH10" s="7"/>
      <c r="AI10" s="7"/>
      <c r="AK10" s="5"/>
      <c r="AL10" s="5"/>
      <c r="AM10" s="5"/>
      <c r="AN10" s="5"/>
      <c r="AO10" s="7"/>
      <c r="AP10" s="7"/>
      <c r="AQ10" s="7"/>
      <c r="AR10" s="7"/>
    </row>
    <row r="11" spans="1:44" ht="15.75" customHeight="1">
      <c r="A11" s="4">
        <v>10</v>
      </c>
      <c r="B11" s="5">
        <v>9.6</v>
      </c>
      <c r="C11" s="5">
        <v>9.5</v>
      </c>
      <c r="D11" s="9">
        <f t="shared" si="0"/>
        <v>1.0105263157894737</v>
      </c>
      <c r="E11" s="7"/>
      <c r="F11" s="7" t="s">
        <v>30</v>
      </c>
      <c r="G11" s="7"/>
      <c r="H11" s="7"/>
      <c r="J11" s="5"/>
      <c r="K11" s="5"/>
      <c r="L11" s="5"/>
      <c r="M11" s="5"/>
      <c r="N11" s="7"/>
      <c r="O11" s="7"/>
      <c r="P11" s="7"/>
      <c r="Q11" s="7"/>
      <c r="S11" s="5"/>
      <c r="T11" s="5"/>
      <c r="U11" s="5"/>
      <c r="V11" s="5"/>
      <c r="W11" s="7"/>
      <c r="X11" s="7"/>
      <c r="Y11" s="7"/>
      <c r="Z11" s="7"/>
      <c r="AA11" s="7"/>
      <c r="AB11" s="5"/>
      <c r="AC11" s="5"/>
      <c r="AD11" s="5"/>
      <c r="AE11" s="5"/>
      <c r="AF11" s="7"/>
      <c r="AG11" s="7"/>
      <c r="AH11" s="7"/>
      <c r="AI11" s="7"/>
      <c r="AK11" s="5"/>
      <c r="AL11" s="5"/>
      <c r="AM11" s="5"/>
      <c r="AN11" s="5"/>
      <c r="AO11" s="7"/>
      <c r="AP11" s="7"/>
      <c r="AQ11" s="7"/>
      <c r="AR11" s="7"/>
    </row>
    <row r="12" spans="1:44" ht="15.75" customHeight="1">
      <c r="A12" s="8">
        <v>11</v>
      </c>
      <c r="B12" s="17">
        <v>8.6999999999999993</v>
      </c>
      <c r="C12" s="17">
        <v>8.6</v>
      </c>
      <c r="D12" s="9">
        <f t="shared" si="0"/>
        <v>1.0116279069767442</v>
      </c>
      <c r="E12" s="7"/>
      <c r="F12" s="14" t="s">
        <v>30</v>
      </c>
      <c r="G12" s="7"/>
      <c r="H12" s="7"/>
      <c r="J12" s="5"/>
      <c r="K12" s="5"/>
      <c r="L12" s="5"/>
      <c r="M12" s="5"/>
      <c r="N12" s="7"/>
      <c r="O12" s="7"/>
      <c r="P12" s="7"/>
      <c r="Q12" s="7"/>
      <c r="S12" s="5"/>
      <c r="T12" s="5"/>
      <c r="U12" s="5"/>
      <c r="V12" s="5"/>
      <c r="W12" s="7"/>
      <c r="X12" s="7"/>
      <c r="Y12" s="7"/>
      <c r="Z12" s="7"/>
      <c r="AA12" s="7"/>
      <c r="AB12" s="5"/>
      <c r="AC12" s="5"/>
      <c r="AD12" s="5"/>
      <c r="AE12" s="5"/>
      <c r="AF12" s="7"/>
      <c r="AG12" s="7"/>
      <c r="AH12" s="7"/>
      <c r="AI12" s="7"/>
      <c r="AK12" s="5"/>
      <c r="AL12" s="5"/>
      <c r="AM12" s="5"/>
      <c r="AN12" s="5"/>
      <c r="AO12" s="7"/>
      <c r="AP12" s="7"/>
      <c r="AQ12" s="7"/>
      <c r="AR12" s="7"/>
    </row>
    <row r="13" spans="1:44" ht="15.75" customHeight="1">
      <c r="A13" s="8">
        <v>12</v>
      </c>
      <c r="B13" s="17">
        <v>12.1</v>
      </c>
      <c r="C13" s="17">
        <v>8.6</v>
      </c>
      <c r="D13" s="9">
        <f t="shared" si="0"/>
        <v>1.4069767441860466</v>
      </c>
      <c r="E13" s="7"/>
      <c r="F13" s="14" t="s">
        <v>30</v>
      </c>
      <c r="G13" s="7"/>
      <c r="H13" s="7"/>
      <c r="J13" s="5"/>
      <c r="K13" s="5"/>
      <c r="L13" s="5"/>
      <c r="M13" s="5"/>
      <c r="N13" s="7"/>
      <c r="O13" s="7"/>
      <c r="P13" s="7"/>
      <c r="Q13" s="7"/>
      <c r="S13" s="5"/>
      <c r="T13" s="5"/>
      <c r="U13" s="5"/>
      <c r="V13" s="5"/>
      <c r="W13" s="7"/>
      <c r="X13" s="7"/>
      <c r="Y13" s="7"/>
      <c r="Z13" s="7"/>
      <c r="AA13" s="7"/>
      <c r="AB13" s="5"/>
      <c r="AC13" s="5"/>
      <c r="AD13" s="5"/>
      <c r="AE13" s="5"/>
      <c r="AF13" s="7"/>
      <c r="AG13" s="7"/>
      <c r="AH13" s="7"/>
      <c r="AI13" s="7"/>
      <c r="AK13" s="5"/>
      <c r="AL13" s="5"/>
      <c r="AM13" s="5"/>
      <c r="AN13" s="5"/>
      <c r="AO13" s="7"/>
      <c r="AP13" s="7"/>
      <c r="AQ13" s="7"/>
      <c r="AR13" s="7"/>
    </row>
    <row r="14" spans="1:44" ht="15.75" customHeight="1">
      <c r="A14" s="8">
        <v>13</v>
      </c>
      <c r="B14" s="17">
        <v>9.9</v>
      </c>
      <c r="C14" s="17">
        <v>7.8</v>
      </c>
      <c r="D14" s="9">
        <f t="shared" si="0"/>
        <v>1.2692307692307694</v>
      </c>
      <c r="E14" s="7"/>
      <c r="F14" s="14" t="s">
        <v>30</v>
      </c>
      <c r="G14" s="7"/>
      <c r="H14" s="7"/>
      <c r="J14" s="5"/>
      <c r="K14" s="5"/>
      <c r="L14" s="5"/>
      <c r="M14" s="5"/>
      <c r="N14" s="7"/>
      <c r="O14" s="7"/>
      <c r="P14" s="7"/>
      <c r="Q14" s="7"/>
      <c r="S14" s="5"/>
      <c r="T14" s="5"/>
      <c r="U14" s="5"/>
      <c r="V14" s="5"/>
      <c r="W14" s="7"/>
      <c r="X14" s="7"/>
      <c r="Y14" s="7"/>
      <c r="Z14" s="7"/>
      <c r="AA14" s="7"/>
      <c r="AB14" s="5"/>
      <c r="AC14" s="5"/>
      <c r="AD14" s="5"/>
      <c r="AE14" s="5"/>
      <c r="AF14" s="7"/>
      <c r="AG14" s="7"/>
      <c r="AH14" s="7"/>
      <c r="AI14" s="7"/>
      <c r="AK14" s="5"/>
      <c r="AL14" s="5"/>
      <c r="AM14" s="5"/>
      <c r="AN14" s="5"/>
      <c r="AO14" s="7"/>
      <c r="AP14" s="7"/>
      <c r="AQ14" s="7"/>
      <c r="AR14" s="7"/>
    </row>
    <row r="15" spans="1:44" ht="15.75" customHeight="1">
      <c r="A15" s="8">
        <v>14</v>
      </c>
      <c r="B15" s="17">
        <v>9.4</v>
      </c>
      <c r="C15" s="17">
        <v>6.1</v>
      </c>
      <c r="D15" s="9">
        <f t="shared" si="0"/>
        <v>1.5409836065573772</v>
      </c>
      <c r="E15" s="7"/>
      <c r="F15" s="14" t="s">
        <v>30</v>
      </c>
      <c r="G15" s="7"/>
      <c r="H15" s="7"/>
      <c r="I15" s="14" t="s">
        <v>133</v>
      </c>
      <c r="J15" s="5"/>
      <c r="K15" s="5"/>
      <c r="L15" s="5"/>
      <c r="M15" s="5"/>
      <c r="N15" s="7"/>
      <c r="O15" s="7"/>
      <c r="P15" s="7"/>
      <c r="Q15" s="7"/>
      <c r="S15" s="5"/>
      <c r="T15" s="5"/>
      <c r="U15" s="5"/>
      <c r="V15" s="5"/>
      <c r="W15" s="7"/>
      <c r="X15" s="7"/>
      <c r="Y15" s="7"/>
      <c r="Z15" s="7"/>
      <c r="AA15" s="7"/>
      <c r="AB15" s="5"/>
      <c r="AC15" s="5"/>
      <c r="AD15" s="5"/>
      <c r="AE15" s="5"/>
      <c r="AF15" s="7"/>
      <c r="AG15" s="7"/>
      <c r="AH15" s="7"/>
      <c r="AI15" s="7"/>
      <c r="AK15" s="5"/>
      <c r="AL15" s="5"/>
      <c r="AM15" s="5"/>
      <c r="AN15" s="5"/>
      <c r="AO15" s="7"/>
      <c r="AP15" s="7"/>
      <c r="AQ15" s="7"/>
      <c r="AR15" s="7"/>
    </row>
    <row r="16" spans="1:44" ht="15.75" customHeight="1">
      <c r="A16" s="8">
        <v>15</v>
      </c>
      <c r="B16" s="17">
        <v>9.5</v>
      </c>
      <c r="C16" s="17">
        <v>8.5</v>
      </c>
      <c r="D16" s="9">
        <f t="shared" si="0"/>
        <v>1.1176470588235294</v>
      </c>
      <c r="E16" s="7"/>
      <c r="F16" s="7"/>
      <c r="G16" s="7"/>
      <c r="H16" s="7"/>
      <c r="J16" s="5"/>
      <c r="K16" s="5"/>
      <c r="L16" s="5"/>
      <c r="M16" s="5"/>
      <c r="N16" s="7"/>
      <c r="O16" s="7"/>
      <c r="P16" s="7"/>
      <c r="Q16" s="7"/>
      <c r="S16" s="5"/>
      <c r="T16" s="5"/>
      <c r="U16" s="5"/>
      <c r="V16" s="5"/>
      <c r="W16" s="7"/>
      <c r="X16" s="7"/>
      <c r="Y16" s="7"/>
      <c r="Z16" s="7"/>
      <c r="AA16" s="7"/>
      <c r="AB16" s="5"/>
      <c r="AC16" s="5"/>
      <c r="AD16" s="5"/>
      <c r="AE16" s="5"/>
      <c r="AF16" s="7"/>
      <c r="AG16" s="7"/>
      <c r="AH16" s="7"/>
      <c r="AI16" s="7"/>
      <c r="AK16" s="5"/>
      <c r="AL16" s="5"/>
      <c r="AM16" s="5"/>
      <c r="AN16" s="5"/>
      <c r="AO16" s="7"/>
      <c r="AP16" s="7"/>
      <c r="AQ16" s="7"/>
      <c r="AR16" s="7"/>
    </row>
    <row r="17" spans="1:44" ht="15.75" customHeight="1">
      <c r="A17" s="8">
        <v>16</v>
      </c>
      <c r="B17" s="17">
        <v>9.9</v>
      </c>
      <c r="C17" s="17">
        <v>7.6</v>
      </c>
      <c r="D17" s="9">
        <f t="shared" si="0"/>
        <v>1.3026315789473686</v>
      </c>
      <c r="E17" s="7"/>
      <c r="F17" s="7"/>
      <c r="G17" s="7"/>
      <c r="H17" s="7"/>
      <c r="J17" s="5"/>
      <c r="K17" s="5"/>
      <c r="L17" s="5"/>
      <c r="M17" s="5"/>
      <c r="N17" s="7"/>
      <c r="O17" s="7"/>
      <c r="P17" s="7"/>
      <c r="Q17" s="7"/>
      <c r="S17" s="5"/>
      <c r="T17" s="5"/>
      <c r="U17" s="5"/>
      <c r="V17" s="5"/>
      <c r="W17" s="7"/>
      <c r="X17" s="7"/>
      <c r="Y17" s="7"/>
      <c r="Z17" s="7"/>
      <c r="AA17" s="7"/>
      <c r="AB17" s="5"/>
      <c r="AC17" s="5"/>
      <c r="AD17" s="5"/>
      <c r="AE17" s="5"/>
      <c r="AF17" s="7"/>
      <c r="AG17" s="7"/>
      <c r="AH17" s="7"/>
      <c r="AI17" s="7"/>
      <c r="AK17" s="5"/>
      <c r="AL17" s="5"/>
      <c r="AM17" s="5"/>
      <c r="AN17" s="5"/>
      <c r="AO17" s="7"/>
      <c r="AP17" s="7"/>
      <c r="AQ17" s="7"/>
      <c r="AR17" s="7"/>
    </row>
    <row r="18" spans="1:44" ht="15.75" customHeight="1">
      <c r="A18" s="8">
        <v>17</v>
      </c>
      <c r="B18" s="17">
        <v>11</v>
      </c>
      <c r="C18" s="17">
        <v>8.94</v>
      </c>
      <c r="D18" s="9">
        <f t="shared" si="0"/>
        <v>1.2304250559284118</v>
      </c>
      <c r="E18" s="7"/>
      <c r="F18" s="7"/>
      <c r="G18" s="7"/>
      <c r="H18" s="7"/>
      <c r="J18" s="5"/>
      <c r="K18" s="5"/>
      <c r="L18" s="5"/>
      <c r="M18" s="5"/>
      <c r="N18" s="7"/>
      <c r="O18" s="7"/>
      <c r="P18" s="7"/>
      <c r="Q18" s="7"/>
      <c r="S18" s="5"/>
      <c r="T18" s="5"/>
      <c r="U18" s="5"/>
      <c r="V18" s="5"/>
      <c r="W18" s="7"/>
      <c r="X18" s="7"/>
      <c r="Y18" s="7"/>
      <c r="Z18" s="7"/>
      <c r="AA18" s="7"/>
      <c r="AB18" s="5"/>
      <c r="AC18" s="5"/>
      <c r="AD18" s="5"/>
      <c r="AE18" s="5"/>
      <c r="AF18" s="7"/>
      <c r="AG18" s="7"/>
      <c r="AH18" s="7"/>
      <c r="AI18" s="7"/>
      <c r="AK18" s="5"/>
      <c r="AL18" s="5"/>
      <c r="AM18" s="5"/>
      <c r="AN18" s="5"/>
      <c r="AO18" s="7"/>
      <c r="AP18" s="7"/>
      <c r="AQ18" s="7"/>
      <c r="AR18" s="7"/>
    </row>
    <row r="19" spans="1:44" ht="15.75" customHeight="1">
      <c r="A19" s="8">
        <v>18</v>
      </c>
      <c r="B19" s="17">
        <v>10.199999999999999</v>
      </c>
      <c r="C19" s="17">
        <v>8.1999999999999993</v>
      </c>
      <c r="D19" s="9">
        <f t="shared" si="0"/>
        <v>1.2439024390243902</v>
      </c>
      <c r="E19" s="7"/>
      <c r="F19" s="7"/>
      <c r="G19" s="7"/>
      <c r="H19" s="7"/>
      <c r="J19" s="5"/>
      <c r="K19" s="5"/>
      <c r="L19" s="5"/>
      <c r="M19" s="5"/>
      <c r="N19" s="7"/>
      <c r="O19" s="7"/>
      <c r="P19" s="7"/>
      <c r="Q19" s="7"/>
      <c r="S19" s="5"/>
      <c r="T19" s="5"/>
      <c r="U19" s="5"/>
      <c r="V19" s="5"/>
      <c r="W19" s="7"/>
      <c r="X19" s="7"/>
      <c r="Y19" s="7"/>
      <c r="Z19" s="7"/>
      <c r="AA19" s="7"/>
      <c r="AB19" s="5"/>
      <c r="AC19" s="5"/>
      <c r="AD19" s="5"/>
      <c r="AE19" s="5"/>
      <c r="AF19" s="7"/>
      <c r="AG19" s="7"/>
      <c r="AH19" s="7"/>
      <c r="AI19" s="7"/>
      <c r="AK19" s="5"/>
      <c r="AL19" s="5"/>
      <c r="AM19" s="5"/>
      <c r="AN19" s="5"/>
      <c r="AO19" s="7"/>
      <c r="AP19" s="7"/>
      <c r="AQ19" s="7"/>
      <c r="AR19" s="7"/>
    </row>
    <row r="20" spans="1:44" ht="15.75" customHeight="1">
      <c r="A20" s="8">
        <v>19</v>
      </c>
      <c r="B20" s="17">
        <v>11.4</v>
      </c>
      <c r="C20" s="17">
        <v>10.1</v>
      </c>
      <c r="D20" s="9">
        <f t="shared" si="0"/>
        <v>1.1287128712871288</v>
      </c>
      <c r="E20" s="7"/>
      <c r="F20" s="7"/>
      <c r="G20" s="7"/>
      <c r="H20" s="7"/>
      <c r="J20" s="5"/>
      <c r="K20" s="5"/>
      <c r="L20" s="5"/>
      <c r="M20" s="5"/>
      <c r="N20" s="7"/>
      <c r="O20" s="7"/>
      <c r="P20" s="7"/>
      <c r="Q20" s="7"/>
      <c r="S20" s="5"/>
      <c r="T20" s="5"/>
      <c r="U20" s="5"/>
      <c r="V20" s="5"/>
      <c r="W20" s="7"/>
      <c r="X20" s="7"/>
      <c r="Y20" s="7"/>
      <c r="Z20" s="7"/>
      <c r="AA20" s="7"/>
      <c r="AB20" s="5"/>
      <c r="AC20" s="5"/>
      <c r="AD20" s="5"/>
      <c r="AE20" s="5"/>
      <c r="AF20" s="7"/>
      <c r="AG20" s="7"/>
      <c r="AH20" s="7"/>
      <c r="AI20" s="7"/>
      <c r="AK20" s="5"/>
      <c r="AL20" s="5"/>
      <c r="AM20" s="5"/>
      <c r="AN20" s="5"/>
      <c r="AO20" s="7"/>
      <c r="AP20" s="7"/>
      <c r="AQ20" s="7"/>
      <c r="AR20" s="7"/>
    </row>
    <row r="21" spans="1:44" ht="15.75" customHeight="1">
      <c r="A21" s="8">
        <v>20</v>
      </c>
      <c r="B21" s="17">
        <v>9.5</v>
      </c>
      <c r="C21" s="17">
        <v>8.6999999999999993</v>
      </c>
      <c r="D21" s="9">
        <f t="shared" si="0"/>
        <v>1.0919540229885059</v>
      </c>
      <c r="E21" s="7"/>
      <c r="F21" s="7"/>
      <c r="G21" s="7"/>
      <c r="H21" s="7"/>
      <c r="I21" s="1" t="s">
        <v>355</v>
      </c>
      <c r="J21" s="5"/>
      <c r="K21" s="5"/>
      <c r="L21" s="5"/>
      <c r="M21" s="5"/>
      <c r="N21" s="7"/>
      <c r="O21" s="7"/>
      <c r="P21" s="7"/>
      <c r="Q21" s="7"/>
      <c r="S21" s="5"/>
      <c r="T21" s="5"/>
      <c r="U21" s="5"/>
      <c r="V21" s="5"/>
      <c r="W21" s="7"/>
      <c r="X21" s="7"/>
      <c r="Y21" s="7"/>
      <c r="Z21" s="7"/>
      <c r="AA21" s="7"/>
      <c r="AB21" s="5"/>
      <c r="AC21" s="5"/>
      <c r="AD21" s="5"/>
      <c r="AE21" s="5"/>
      <c r="AF21" s="7"/>
      <c r="AG21" s="7"/>
      <c r="AH21" s="7"/>
      <c r="AI21" s="7"/>
      <c r="AK21" s="5"/>
      <c r="AL21" s="5"/>
      <c r="AM21" s="5"/>
      <c r="AN21" s="5"/>
      <c r="AO21" s="7"/>
      <c r="AP21" s="7"/>
      <c r="AQ21" s="7"/>
      <c r="AR21" s="7"/>
    </row>
    <row r="22" spans="1:44" ht="15.75" customHeight="1">
      <c r="A22" s="8">
        <v>21</v>
      </c>
      <c r="B22" s="17">
        <v>11</v>
      </c>
      <c r="C22" s="17">
        <v>8.6999999999999993</v>
      </c>
      <c r="D22" s="9">
        <f t="shared" si="0"/>
        <v>1.264367816091954</v>
      </c>
      <c r="E22" s="7"/>
      <c r="F22" s="7"/>
      <c r="G22" s="7"/>
      <c r="H22" s="7"/>
      <c r="I22" s="1" t="s">
        <v>356</v>
      </c>
      <c r="J22" s="5"/>
      <c r="K22" s="5"/>
      <c r="L22" s="5"/>
      <c r="M22" s="5"/>
      <c r="N22" s="7"/>
      <c r="O22" s="7"/>
      <c r="P22" s="7"/>
      <c r="Q22" s="7"/>
      <c r="S22" s="5"/>
      <c r="T22" s="5"/>
      <c r="U22" s="5"/>
      <c r="V22" s="5"/>
      <c r="W22" s="7"/>
      <c r="X22" s="7"/>
      <c r="Y22" s="7"/>
      <c r="Z22" s="7"/>
      <c r="AA22" s="7"/>
      <c r="AB22" s="5"/>
      <c r="AC22" s="5"/>
      <c r="AD22" s="5"/>
      <c r="AE22" s="5"/>
      <c r="AF22" s="7"/>
      <c r="AG22" s="7"/>
      <c r="AH22" s="7"/>
      <c r="AI22" s="7"/>
      <c r="AK22" s="5"/>
      <c r="AL22" s="5"/>
      <c r="AM22" s="5"/>
      <c r="AN22" s="5"/>
      <c r="AO22" s="7"/>
      <c r="AP22" s="7"/>
      <c r="AQ22" s="7"/>
      <c r="AR22" s="7"/>
    </row>
    <row r="23" spans="1:44" ht="15.75" customHeight="1">
      <c r="A23" s="8">
        <v>22</v>
      </c>
      <c r="B23" s="17">
        <v>9.5</v>
      </c>
      <c r="C23" s="17">
        <v>8.9</v>
      </c>
      <c r="D23" s="9">
        <f t="shared" si="0"/>
        <v>1.0674157303370786</v>
      </c>
      <c r="E23" s="7"/>
      <c r="F23" s="7"/>
      <c r="G23" s="7"/>
      <c r="H23" s="7"/>
      <c r="I23" s="1" t="s">
        <v>357</v>
      </c>
      <c r="J23" s="5"/>
      <c r="K23" s="5"/>
      <c r="L23" s="5"/>
      <c r="M23" s="5"/>
      <c r="N23" s="7"/>
      <c r="O23" s="7"/>
      <c r="P23" s="7"/>
      <c r="Q23" s="7"/>
      <c r="S23" s="5"/>
      <c r="T23" s="5"/>
      <c r="U23" s="5"/>
      <c r="V23" s="5"/>
      <c r="W23" s="7"/>
      <c r="X23" s="7"/>
      <c r="Y23" s="7"/>
      <c r="Z23" s="7"/>
      <c r="AA23" s="7"/>
      <c r="AB23" s="5"/>
      <c r="AC23" s="5"/>
      <c r="AD23" s="5"/>
      <c r="AE23" s="5"/>
      <c r="AF23" s="7"/>
      <c r="AG23" s="7"/>
      <c r="AH23" s="7"/>
      <c r="AI23" s="7"/>
      <c r="AK23" s="5"/>
      <c r="AL23" s="5"/>
      <c r="AM23" s="5"/>
      <c r="AN23" s="5"/>
      <c r="AO23" s="7"/>
      <c r="AP23" s="7"/>
      <c r="AQ23" s="7"/>
      <c r="AR23" s="7"/>
    </row>
    <row r="24" spans="1:44" ht="15.75" customHeight="1">
      <c r="A24" s="8">
        <v>23</v>
      </c>
      <c r="B24" s="17">
        <v>11.2</v>
      </c>
      <c r="C24" s="17">
        <v>10.1</v>
      </c>
      <c r="D24" s="9">
        <f t="shared" si="0"/>
        <v>1.1089108910891088</v>
      </c>
      <c r="E24" s="7"/>
      <c r="F24" s="7"/>
      <c r="G24" s="7"/>
      <c r="H24" s="7"/>
      <c r="I24" s="1" t="s">
        <v>358</v>
      </c>
      <c r="J24" s="5"/>
      <c r="K24" s="5"/>
      <c r="L24" s="5"/>
      <c r="M24" s="5"/>
      <c r="N24" s="7"/>
      <c r="O24" s="7"/>
      <c r="P24" s="7"/>
      <c r="Q24" s="7"/>
      <c r="S24" s="5"/>
      <c r="T24" s="5"/>
      <c r="U24" s="5"/>
      <c r="V24" s="5"/>
      <c r="W24" s="7"/>
      <c r="X24" s="7"/>
      <c r="Y24" s="7"/>
      <c r="Z24" s="7"/>
      <c r="AA24" s="7"/>
      <c r="AB24" s="5"/>
      <c r="AC24" s="5"/>
      <c r="AD24" s="5"/>
      <c r="AE24" s="5"/>
      <c r="AF24" s="7"/>
      <c r="AG24" s="7"/>
      <c r="AH24" s="7"/>
      <c r="AI24" s="7"/>
      <c r="AK24" s="5"/>
      <c r="AL24" s="5"/>
      <c r="AM24" s="5"/>
      <c r="AN24" s="5"/>
      <c r="AO24" s="7"/>
      <c r="AP24" s="7"/>
      <c r="AQ24" s="7"/>
      <c r="AR24" s="7"/>
    </row>
    <row r="25" spans="1:44" ht="15.75" customHeight="1">
      <c r="A25" s="8">
        <v>24</v>
      </c>
      <c r="B25" s="17">
        <v>9</v>
      </c>
      <c r="C25" s="17">
        <v>8</v>
      </c>
      <c r="D25" s="9">
        <f t="shared" si="0"/>
        <v>1.125</v>
      </c>
      <c r="E25" s="7"/>
      <c r="F25" s="7"/>
      <c r="G25" s="7"/>
      <c r="H25" s="7"/>
      <c r="I25" s="1" t="s">
        <v>69</v>
      </c>
      <c r="J25" s="5"/>
      <c r="K25" s="5"/>
      <c r="L25" s="5"/>
      <c r="M25" s="5"/>
      <c r="N25" s="7"/>
      <c r="O25" s="7"/>
      <c r="P25" s="7"/>
      <c r="Q25" s="7"/>
      <c r="S25" s="5"/>
      <c r="T25" s="5"/>
      <c r="U25" s="5"/>
      <c r="V25" s="5"/>
      <c r="W25" s="7"/>
      <c r="X25" s="7"/>
      <c r="Y25" s="7"/>
      <c r="Z25" s="7"/>
      <c r="AA25" s="7"/>
      <c r="AB25" s="5"/>
      <c r="AC25" s="5"/>
      <c r="AD25" s="5"/>
      <c r="AE25" s="5"/>
      <c r="AF25" s="7"/>
      <c r="AG25" s="7"/>
      <c r="AH25" s="7"/>
      <c r="AI25" s="7"/>
      <c r="AK25" s="5"/>
      <c r="AL25" s="5"/>
      <c r="AM25" s="5"/>
      <c r="AN25" s="5"/>
      <c r="AO25" s="7"/>
      <c r="AP25" s="7"/>
      <c r="AQ25" s="7"/>
      <c r="AR25" s="7"/>
    </row>
    <row r="26" spans="1:44" ht="15.75" customHeight="1">
      <c r="A26" s="8">
        <v>25</v>
      </c>
      <c r="B26" s="17">
        <v>11.4</v>
      </c>
      <c r="C26" s="17">
        <v>9.6</v>
      </c>
      <c r="D26" s="9">
        <f t="shared" si="0"/>
        <v>1.1875</v>
      </c>
      <c r="E26" s="7"/>
      <c r="F26" s="7"/>
      <c r="G26" s="7"/>
      <c r="H26" s="7"/>
      <c r="J26" s="5"/>
      <c r="K26" s="5"/>
      <c r="L26" s="5"/>
      <c r="M26" s="5"/>
      <c r="N26" s="7"/>
      <c r="O26" s="7"/>
      <c r="P26" s="7"/>
      <c r="Q26" s="7"/>
      <c r="S26" s="5"/>
      <c r="T26" s="5"/>
      <c r="U26" s="5"/>
      <c r="V26" s="5"/>
      <c r="W26" s="7"/>
      <c r="X26" s="7"/>
      <c r="Y26" s="7"/>
      <c r="Z26" s="7"/>
      <c r="AA26" s="7"/>
      <c r="AB26" s="5"/>
      <c r="AC26" s="5"/>
      <c r="AD26" s="5"/>
      <c r="AE26" s="5"/>
      <c r="AF26" s="7"/>
      <c r="AG26" s="7"/>
      <c r="AH26" s="7"/>
      <c r="AI26" s="7"/>
      <c r="AK26" s="5"/>
      <c r="AL26" s="5"/>
      <c r="AM26" s="5"/>
      <c r="AN26" s="5"/>
      <c r="AO26" s="7"/>
      <c r="AP26" s="7"/>
      <c r="AQ26" s="7"/>
      <c r="AR26" s="7"/>
    </row>
    <row r="27" spans="1:44" ht="15.75" customHeight="1">
      <c r="A27" s="4" t="s">
        <v>10</v>
      </c>
      <c r="B27" s="9">
        <f t="shared" ref="B27:D27" si="1">AVERAGE(B2:B26)</f>
        <v>10.283999999999999</v>
      </c>
      <c r="C27" s="9">
        <f t="shared" si="1"/>
        <v>8.5575999999999972</v>
      </c>
      <c r="D27" s="9">
        <f t="shared" si="1"/>
        <v>1.2078347167010335</v>
      </c>
      <c r="E27" s="7"/>
      <c r="F27" s="7"/>
      <c r="G27" s="7"/>
      <c r="H27" s="7"/>
      <c r="J27" s="17"/>
      <c r="K27" s="5"/>
      <c r="L27" s="5"/>
      <c r="M27" s="5"/>
      <c r="N27" s="7"/>
      <c r="O27" s="7"/>
      <c r="P27" s="7"/>
      <c r="Q27" s="7"/>
      <c r="S27" s="17"/>
      <c r="T27" s="5"/>
      <c r="U27" s="5"/>
      <c r="V27" s="5"/>
      <c r="W27" s="7"/>
      <c r="X27" s="7"/>
      <c r="Y27" s="7"/>
      <c r="Z27" s="7"/>
      <c r="AA27" s="7"/>
      <c r="AB27" s="17"/>
      <c r="AC27" s="5"/>
      <c r="AD27" s="5"/>
      <c r="AE27" s="5"/>
      <c r="AF27" s="7"/>
      <c r="AG27" s="7"/>
      <c r="AH27" s="7"/>
      <c r="AI27" s="7"/>
      <c r="AK27" s="17"/>
      <c r="AL27" s="5"/>
      <c r="AM27" s="5"/>
      <c r="AN27" s="5"/>
      <c r="AO27" s="7"/>
      <c r="AP27" s="7"/>
      <c r="AQ27" s="7"/>
      <c r="AR27" s="7"/>
    </row>
    <row r="28" spans="1:44" ht="15.75" customHeight="1">
      <c r="A28" s="4" t="s">
        <v>11</v>
      </c>
      <c r="B28" s="5">
        <f t="shared" ref="B28:D28" si="2">MIN(B3:B26)</f>
        <v>7.9</v>
      </c>
      <c r="C28" s="5">
        <f t="shared" si="2"/>
        <v>6.1</v>
      </c>
      <c r="D28" s="9">
        <f t="shared" si="2"/>
        <v>1.0105263157894737</v>
      </c>
      <c r="E28" s="7"/>
      <c r="F28" s="7"/>
      <c r="G28" s="7"/>
      <c r="H28" s="7"/>
      <c r="J28" s="17"/>
      <c r="K28" s="5"/>
      <c r="L28" s="5"/>
      <c r="M28" s="5"/>
      <c r="N28" s="7"/>
      <c r="O28" s="7"/>
      <c r="P28" s="7"/>
      <c r="Q28" s="7"/>
      <c r="S28" s="17"/>
      <c r="T28" s="5"/>
      <c r="U28" s="5"/>
      <c r="V28" s="5"/>
      <c r="W28" s="7"/>
      <c r="X28" s="7"/>
      <c r="Y28" s="7"/>
      <c r="Z28" s="7"/>
      <c r="AA28" s="7"/>
      <c r="AB28" s="17"/>
      <c r="AC28" s="5"/>
      <c r="AD28" s="5"/>
      <c r="AE28" s="5"/>
      <c r="AF28" s="7"/>
      <c r="AG28" s="7"/>
      <c r="AH28" s="7"/>
      <c r="AI28" s="7"/>
      <c r="AK28" s="17"/>
      <c r="AL28" s="5"/>
      <c r="AM28" s="5"/>
      <c r="AN28" s="5"/>
      <c r="AO28" s="7"/>
      <c r="AP28" s="7"/>
      <c r="AQ28" s="7"/>
      <c r="AR28" s="7"/>
    </row>
    <row r="29" spans="1:44" ht="15.75" customHeight="1">
      <c r="A29" s="4" t="s">
        <v>12</v>
      </c>
      <c r="B29" s="5">
        <f t="shared" ref="B29:D29" si="3">MAX(B4:B26)</f>
        <v>12.1</v>
      </c>
      <c r="C29" s="5">
        <f t="shared" si="3"/>
        <v>10.1</v>
      </c>
      <c r="D29" s="9">
        <f t="shared" si="3"/>
        <v>1.5409836065573772</v>
      </c>
      <c r="E29" s="7"/>
      <c r="F29" s="7"/>
      <c r="G29" s="7"/>
      <c r="H29" s="7"/>
      <c r="J29" s="17"/>
      <c r="K29" s="5"/>
      <c r="L29" s="5"/>
      <c r="M29" s="5"/>
      <c r="N29" s="7"/>
      <c r="O29" s="7"/>
      <c r="P29" s="7"/>
      <c r="Q29" s="7"/>
      <c r="S29" s="17"/>
      <c r="T29" s="5"/>
      <c r="U29" s="5"/>
      <c r="V29" s="5"/>
      <c r="W29" s="7"/>
      <c r="X29" s="7"/>
      <c r="Y29" s="7"/>
      <c r="Z29" s="7"/>
      <c r="AA29" s="7"/>
      <c r="AB29" s="17"/>
      <c r="AC29" s="5"/>
      <c r="AD29" s="5"/>
      <c r="AE29" s="5"/>
      <c r="AF29" s="7"/>
      <c r="AG29" s="7"/>
      <c r="AH29" s="7"/>
      <c r="AI29" s="7"/>
      <c r="AK29" s="17"/>
      <c r="AL29" s="5"/>
      <c r="AM29" s="5"/>
      <c r="AN29" s="5"/>
      <c r="AO29" s="7"/>
      <c r="AP29" s="7"/>
      <c r="AQ29" s="7"/>
      <c r="AR29" s="7"/>
    </row>
    <row r="30" spans="1:44" ht="15.75" customHeight="1">
      <c r="A30" s="2"/>
      <c r="B30" s="7"/>
      <c r="C30" s="7"/>
      <c r="D30" s="7"/>
      <c r="E30" s="7"/>
      <c r="F30" s="7"/>
      <c r="G30" s="7"/>
      <c r="H30" s="7"/>
      <c r="J30" s="17"/>
      <c r="K30" s="5"/>
      <c r="L30" s="5"/>
      <c r="M30" s="5"/>
      <c r="N30" s="7"/>
      <c r="O30" s="7"/>
      <c r="P30" s="7"/>
      <c r="Q30" s="7"/>
      <c r="S30" s="17"/>
      <c r="T30" s="5"/>
      <c r="U30" s="5"/>
      <c r="V30" s="5"/>
      <c r="W30" s="7"/>
      <c r="X30" s="7"/>
      <c r="Y30" s="7"/>
      <c r="Z30" s="7"/>
      <c r="AA30" s="7"/>
      <c r="AB30" s="17"/>
      <c r="AC30" s="5"/>
      <c r="AD30" s="5"/>
      <c r="AE30" s="5"/>
      <c r="AF30" s="7"/>
      <c r="AG30" s="7"/>
      <c r="AH30" s="7"/>
      <c r="AI30" s="7"/>
      <c r="AK30" s="17"/>
      <c r="AL30" s="5"/>
      <c r="AM30" s="5"/>
      <c r="AN30" s="5"/>
      <c r="AO30" s="7"/>
      <c r="AP30" s="7"/>
      <c r="AQ30" s="7"/>
      <c r="AR30" s="7"/>
    </row>
    <row r="31" spans="1:44" ht="15.75" customHeight="1">
      <c r="A31" s="2"/>
      <c r="B31" s="7"/>
      <c r="C31" s="7"/>
      <c r="D31" s="7"/>
      <c r="E31" s="7"/>
      <c r="F31" s="7"/>
      <c r="G31" s="7"/>
      <c r="H31" s="7"/>
      <c r="J31" s="17"/>
      <c r="K31" s="5"/>
      <c r="L31" s="5"/>
      <c r="M31" s="5"/>
      <c r="N31" s="7"/>
      <c r="O31" s="7"/>
      <c r="P31" s="7"/>
      <c r="Q31" s="7"/>
      <c r="S31" s="17"/>
      <c r="T31" s="5"/>
      <c r="U31" s="5"/>
      <c r="V31" s="5"/>
      <c r="W31" s="7"/>
      <c r="X31" s="7"/>
      <c r="Y31" s="7"/>
      <c r="Z31" s="7"/>
      <c r="AA31" s="7"/>
      <c r="AB31" s="17"/>
      <c r="AC31" s="5"/>
      <c r="AD31" s="5"/>
      <c r="AE31" s="5"/>
      <c r="AF31" s="7"/>
      <c r="AG31" s="7"/>
      <c r="AH31" s="7"/>
      <c r="AI31" s="7"/>
      <c r="AK31" s="17"/>
      <c r="AL31" s="5"/>
      <c r="AM31" s="5"/>
      <c r="AN31" s="5"/>
      <c r="AO31" s="7"/>
      <c r="AP31" s="7"/>
      <c r="AQ31" s="7"/>
      <c r="AR31" s="7"/>
    </row>
    <row r="32" spans="1:44" ht="15.75" customHeight="1">
      <c r="A32" s="2" t="s">
        <v>13</v>
      </c>
      <c r="B32" s="2" t="s">
        <v>3</v>
      </c>
      <c r="C32" s="2" t="s">
        <v>4</v>
      </c>
      <c r="D32" s="2" t="s">
        <v>14</v>
      </c>
      <c r="E32" s="2" t="s">
        <v>15</v>
      </c>
      <c r="F32" s="2" t="s">
        <v>9</v>
      </c>
      <c r="G32" s="2" t="s">
        <v>16</v>
      </c>
      <c r="H32" s="2" t="s">
        <v>17</v>
      </c>
      <c r="J32" s="17"/>
      <c r="K32" s="5"/>
      <c r="L32" s="5"/>
      <c r="M32" s="5"/>
      <c r="N32" s="7"/>
      <c r="O32" s="7"/>
      <c r="P32" s="7"/>
      <c r="Q32" s="7"/>
      <c r="S32" s="17"/>
      <c r="T32" s="5"/>
      <c r="U32" s="5"/>
      <c r="V32" s="5"/>
      <c r="W32" s="7"/>
      <c r="X32" s="7"/>
      <c r="Y32" s="7"/>
      <c r="Z32" s="7"/>
      <c r="AA32" s="7"/>
      <c r="AB32" s="17"/>
      <c r="AC32" s="5"/>
      <c r="AD32" s="5"/>
      <c r="AE32" s="5"/>
      <c r="AF32" s="7"/>
      <c r="AG32" s="7"/>
      <c r="AH32" s="7"/>
      <c r="AI32" s="7"/>
      <c r="AK32" s="17"/>
      <c r="AL32" s="5"/>
      <c r="AM32" s="5"/>
      <c r="AN32" s="5"/>
      <c r="AO32" s="7"/>
      <c r="AP32" s="7"/>
      <c r="AQ32" s="7"/>
      <c r="AR32" s="7"/>
    </row>
    <row r="33" spans="1:44" ht="15.75" customHeight="1">
      <c r="A33" s="4">
        <v>1</v>
      </c>
      <c r="B33" s="5">
        <v>46.5</v>
      </c>
      <c r="C33" s="5">
        <v>13.8</v>
      </c>
      <c r="D33" s="5">
        <v>2</v>
      </c>
      <c r="E33" s="5">
        <v>5.0999999999999996</v>
      </c>
      <c r="F33" s="7" t="s">
        <v>359</v>
      </c>
      <c r="G33" s="7"/>
      <c r="H33" s="7" t="s">
        <v>360</v>
      </c>
      <c r="J33" s="17"/>
      <c r="K33" s="5"/>
      <c r="L33" s="5"/>
      <c r="M33" s="5"/>
      <c r="N33" s="7"/>
      <c r="O33" s="7"/>
      <c r="P33" s="7"/>
      <c r="Q33" s="7"/>
      <c r="S33" s="17"/>
      <c r="T33" s="5"/>
      <c r="U33" s="5"/>
      <c r="V33" s="5"/>
      <c r="W33" s="7"/>
      <c r="X33" s="7"/>
      <c r="Y33" s="7"/>
      <c r="Z33" s="7"/>
      <c r="AA33" s="7"/>
      <c r="AB33" s="17"/>
      <c r="AC33" s="5"/>
      <c r="AD33" s="5"/>
      <c r="AE33" s="5"/>
      <c r="AF33" s="7"/>
      <c r="AG33" s="7"/>
      <c r="AH33" s="7"/>
      <c r="AI33" s="7"/>
      <c r="AK33" s="17"/>
      <c r="AL33" s="5"/>
      <c r="AM33" s="5"/>
      <c r="AN33" s="5"/>
      <c r="AO33" s="7"/>
      <c r="AP33" s="7"/>
      <c r="AQ33" s="7"/>
      <c r="AR33" s="7"/>
    </row>
    <row r="34" spans="1:44" ht="15.75" customHeight="1">
      <c r="A34" s="4">
        <v>2</v>
      </c>
      <c r="B34" s="5">
        <v>43.5</v>
      </c>
      <c r="C34" s="5">
        <v>13.8</v>
      </c>
      <c r="D34" s="5">
        <v>4</v>
      </c>
      <c r="E34" s="5">
        <v>4</v>
      </c>
      <c r="F34" s="7" t="s">
        <v>359</v>
      </c>
      <c r="G34" s="7" t="s">
        <v>361</v>
      </c>
      <c r="H34" s="7" t="s">
        <v>362</v>
      </c>
      <c r="J34" s="17"/>
      <c r="K34" s="5"/>
      <c r="L34" s="5"/>
      <c r="M34" s="5"/>
      <c r="N34" s="7"/>
      <c r="O34" s="7"/>
      <c r="P34" s="7"/>
      <c r="Q34" s="7"/>
      <c r="S34" s="17"/>
      <c r="T34" s="5"/>
      <c r="U34" s="5"/>
      <c r="V34" s="5"/>
      <c r="W34" s="7"/>
      <c r="X34" s="7"/>
      <c r="Y34" s="7"/>
      <c r="Z34" s="7"/>
      <c r="AA34" s="7"/>
      <c r="AB34" s="17"/>
      <c r="AC34" s="5"/>
      <c r="AD34" s="5"/>
      <c r="AE34" s="5"/>
      <c r="AF34" s="7"/>
      <c r="AG34" s="7"/>
      <c r="AH34" s="7"/>
      <c r="AI34" s="7"/>
      <c r="AK34" s="17"/>
      <c r="AL34" s="5"/>
      <c r="AM34" s="5"/>
      <c r="AN34" s="5"/>
      <c r="AO34" s="7"/>
      <c r="AP34" s="7"/>
      <c r="AQ34" s="7"/>
      <c r="AR34" s="7"/>
    </row>
    <row r="35" spans="1:44" ht="15.75" customHeight="1">
      <c r="A35" s="4">
        <v>3</v>
      </c>
      <c r="B35" s="5">
        <v>42.6</v>
      </c>
      <c r="C35" s="5">
        <v>13.8</v>
      </c>
      <c r="D35" s="5">
        <v>4</v>
      </c>
      <c r="E35" s="7" t="s">
        <v>363</v>
      </c>
      <c r="F35" s="27" t="s">
        <v>364</v>
      </c>
      <c r="G35" s="24"/>
      <c r="H35" s="7"/>
      <c r="J35" s="17"/>
      <c r="K35" s="5"/>
      <c r="L35" s="5"/>
      <c r="M35" s="5"/>
      <c r="N35" s="7"/>
      <c r="O35" s="7"/>
      <c r="P35" s="7"/>
      <c r="Q35" s="7"/>
      <c r="S35" s="17"/>
      <c r="T35" s="5"/>
      <c r="U35" s="5"/>
      <c r="V35" s="5"/>
      <c r="W35" s="7"/>
      <c r="X35" s="7"/>
      <c r="Y35" s="7"/>
      <c r="Z35" s="7"/>
      <c r="AA35" s="7"/>
      <c r="AB35" s="17"/>
      <c r="AC35" s="5"/>
      <c r="AD35" s="5"/>
      <c r="AE35" s="5"/>
      <c r="AF35" s="7"/>
      <c r="AG35" s="7"/>
      <c r="AH35" s="7"/>
      <c r="AI35" s="7"/>
      <c r="AK35" s="17"/>
      <c r="AL35" s="5"/>
      <c r="AM35" s="5"/>
      <c r="AN35" s="5"/>
      <c r="AO35" s="7"/>
      <c r="AP35" s="7"/>
      <c r="AQ35" s="7"/>
      <c r="AR35" s="7"/>
    </row>
    <row r="36" spans="1:44" ht="15.75" customHeight="1">
      <c r="A36" s="4">
        <v>4</v>
      </c>
      <c r="B36" s="5">
        <v>41.5</v>
      </c>
      <c r="C36" s="5">
        <v>15.3</v>
      </c>
      <c r="D36" s="5">
        <v>4</v>
      </c>
      <c r="E36" s="5">
        <v>5.6</v>
      </c>
      <c r="F36" s="27" t="s">
        <v>364</v>
      </c>
      <c r="G36" s="24"/>
      <c r="H36" s="7"/>
      <c r="J36" s="17"/>
      <c r="K36" s="5"/>
      <c r="L36" s="5"/>
      <c r="M36" s="5"/>
      <c r="N36" s="7"/>
      <c r="O36" s="7"/>
      <c r="P36" s="7"/>
      <c r="Q36" s="7"/>
      <c r="S36" s="17"/>
      <c r="T36" s="5"/>
      <c r="U36" s="5"/>
      <c r="V36" s="5"/>
      <c r="W36" s="7"/>
      <c r="X36" s="7"/>
      <c r="Y36" s="7"/>
      <c r="Z36" s="7"/>
      <c r="AA36" s="7"/>
      <c r="AB36" s="17"/>
      <c r="AC36" s="5"/>
      <c r="AD36" s="5"/>
      <c r="AE36" s="5"/>
      <c r="AF36" s="7"/>
      <c r="AG36" s="7"/>
      <c r="AH36" s="7"/>
      <c r="AI36" s="7"/>
      <c r="AK36" s="17"/>
      <c r="AL36" s="5"/>
      <c r="AM36" s="5"/>
      <c r="AN36" s="5"/>
      <c r="AO36" s="7"/>
      <c r="AP36" s="7"/>
      <c r="AQ36" s="7"/>
      <c r="AR36" s="7"/>
    </row>
    <row r="37" spans="1:44" ht="15.75" customHeight="1">
      <c r="A37" s="4">
        <v>5</v>
      </c>
      <c r="B37" s="5">
        <v>47.7</v>
      </c>
      <c r="C37" s="5">
        <v>14.7</v>
      </c>
      <c r="D37" s="5">
        <v>4</v>
      </c>
      <c r="E37" s="5">
        <v>4.7</v>
      </c>
      <c r="F37" s="27" t="s">
        <v>364</v>
      </c>
      <c r="G37" s="24"/>
      <c r="H37" s="7"/>
      <c r="J37" s="17"/>
      <c r="K37" s="5"/>
      <c r="L37" s="5"/>
      <c r="M37" s="5"/>
      <c r="N37" s="7"/>
      <c r="O37" s="7"/>
      <c r="P37" s="7"/>
      <c r="Q37" s="7"/>
      <c r="S37" s="17"/>
      <c r="T37" s="5"/>
      <c r="U37" s="5"/>
      <c r="V37" s="5"/>
      <c r="W37" s="7"/>
      <c r="X37" s="7"/>
      <c r="Y37" s="7"/>
      <c r="Z37" s="7"/>
      <c r="AA37" s="7"/>
      <c r="AB37" s="17"/>
      <c r="AC37" s="5"/>
      <c r="AD37" s="5"/>
      <c r="AE37" s="5"/>
      <c r="AF37" s="7"/>
      <c r="AG37" s="7"/>
      <c r="AH37" s="7"/>
      <c r="AI37" s="7"/>
      <c r="AK37" s="17"/>
      <c r="AL37" s="5"/>
      <c r="AM37" s="5"/>
      <c r="AN37" s="5"/>
      <c r="AO37" s="7"/>
      <c r="AP37" s="7"/>
      <c r="AQ37" s="7"/>
      <c r="AR37" s="7"/>
    </row>
    <row r="38" spans="1:44" ht="15.75" customHeight="1">
      <c r="A38" s="4">
        <v>6</v>
      </c>
      <c r="B38" s="5">
        <v>41.4</v>
      </c>
      <c r="C38" s="5">
        <v>13.5</v>
      </c>
      <c r="D38" s="5">
        <v>2</v>
      </c>
      <c r="E38" s="5">
        <v>6.6</v>
      </c>
      <c r="F38" s="27" t="s">
        <v>364</v>
      </c>
      <c r="G38" s="24"/>
      <c r="H38" s="7" t="s">
        <v>365</v>
      </c>
      <c r="J38" s="17"/>
      <c r="K38" s="5"/>
      <c r="L38" s="5"/>
      <c r="M38" s="5"/>
      <c r="N38" s="7"/>
      <c r="O38" s="7"/>
      <c r="P38" s="7"/>
      <c r="Q38" s="7"/>
      <c r="S38" s="17"/>
      <c r="T38" s="5"/>
      <c r="U38" s="5"/>
      <c r="V38" s="5"/>
      <c r="W38" s="7"/>
      <c r="X38" s="7"/>
      <c r="Y38" s="7"/>
      <c r="Z38" s="7"/>
      <c r="AA38" s="7"/>
      <c r="AB38" s="17"/>
      <c r="AC38" s="5"/>
      <c r="AD38" s="5"/>
      <c r="AE38" s="5"/>
      <c r="AF38" s="7"/>
      <c r="AG38" s="7"/>
      <c r="AH38" s="7"/>
      <c r="AI38" s="7"/>
      <c r="AK38" s="17"/>
      <c r="AL38" s="5"/>
      <c r="AM38" s="5"/>
      <c r="AN38" s="5"/>
      <c r="AO38" s="7"/>
      <c r="AP38" s="7"/>
      <c r="AQ38" s="7"/>
      <c r="AR38" s="7"/>
    </row>
    <row r="39" spans="1:44" ht="15.75" customHeight="1">
      <c r="A39" s="4">
        <v>7</v>
      </c>
      <c r="B39" s="5">
        <v>47.2</v>
      </c>
      <c r="C39" s="5">
        <v>15.4</v>
      </c>
      <c r="D39" s="5">
        <v>4</v>
      </c>
      <c r="E39" s="5">
        <v>4.4000000000000004</v>
      </c>
      <c r="F39" s="27" t="s">
        <v>364</v>
      </c>
      <c r="G39" s="24"/>
      <c r="H39" s="7"/>
      <c r="J39" s="17"/>
      <c r="K39" s="5"/>
      <c r="L39" s="5"/>
      <c r="M39" s="5"/>
      <c r="N39" s="7"/>
      <c r="O39" s="7"/>
      <c r="P39" s="7"/>
      <c r="Q39" s="7"/>
      <c r="S39" s="17"/>
      <c r="T39" s="5"/>
      <c r="U39" s="5"/>
      <c r="V39" s="5"/>
      <c r="W39" s="7"/>
      <c r="X39" s="7"/>
      <c r="Y39" s="7"/>
      <c r="Z39" s="7"/>
      <c r="AA39" s="7"/>
      <c r="AB39" s="17"/>
      <c r="AC39" s="5"/>
      <c r="AD39" s="5"/>
      <c r="AE39" s="5"/>
      <c r="AF39" s="7"/>
      <c r="AG39" s="7"/>
      <c r="AH39" s="7"/>
      <c r="AI39" s="7"/>
      <c r="AK39" s="17"/>
      <c r="AL39" s="5"/>
      <c r="AM39" s="5"/>
      <c r="AN39" s="5"/>
      <c r="AO39" s="7"/>
      <c r="AP39" s="7"/>
      <c r="AQ39" s="7"/>
      <c r="AR39" s="7"/>
    </row>
    <row r="40" spans="1:44" ht="15.75" customHeight="1">
      <c r="A40" s="4">
        <v>8</v>
      </c>
      <c r="B40" s="5">
        <v>45.1</v>
      </c>
      <c r="C40" s="5">
        <v>14.2</v>
      </c>
      <c r="D40" s="5">
        <v>4</v>
      </c>
      <c r="E40" s="5">
        <v>6.3</v>
      </c>
      <c r="F40" s="27" t="s">
        <v>364</v>
      </c>
      <c r="G40" s="24"/>
      <c r="H40" s="7"/>
      <c r="J40" s="17"/>
      <c r="K40" s="5"/>
      <c r="L40" s="5"/>
      <c r="M40" s="5"/>
      <c r="N40" s="7"/>
      <c r="O40" s="7"/>
      <c r="P40" s="7"/>
      <c r="Q40" s="7"/>
      <c r="S40" s="17"/>
      <c r="T40" s="5"/>
      <c r="U40" s="5"/>
      <c r="V40" s="5"/>
      <c r="W40" s="7"/>
      <c r="X40" s="7"/>
      <c r="Y40" s="7"/>
      <c r="Z40" s="7"/>
      <c r="AA40" s="7"/>
      <c r="AB40" s="17"/>
      <c r="AC40" s="5"/>
      <c r="AD40" s="5"/>
      <c r="AE40" s="5"/>
      <c r="AF40" s="7"/>
      <c r="AG40" s="7"/>
      <c r="AH40" s="7"/>
      <c r="AI40" s="7"/>
      <c r="AK40" s="17"/>
      <c r="AL40" s="5"/>
      <c r="AM40" s="5"/>
      <c r="AN40" s="5"/>
      <c r="AO40" s="7"/>
      <c r="AP40" s="7"/>
      <c r="AQ40" s="7"/>
      <c r="AR40" s="7"/>
    </row>
    <row r="41" spans="1:44" ht="15.75" customHeight="1">
      <c r="A41" s="4">
        <v>9</v>
      </c>
      <c r="B41" s="5">
        <v>46.1</v>
      </c>
      <c r="C41" s="5">
        <v>15.3</v>
      </c>
      <c r="D41" s="5">
        <v>4</v>
      </c>
      <c r="E41" s="5">
        <v>5.5</v>
      </c>
      <c r="F41" s="27" t="s">
        <v>364</v>
      </c>
      <c r="G41" s="24"/>
      <c r="H41" s="7"/>
      <c r="J41" s="17"/>
      <c r="K41" s="5"/>
      <c r="L41" s="5"/>
      <c r="M41" s="5"/>
      <c r="N41" s="7"/>
      <c r="O41" s="7"/>
      <c r="P41" s="7"/>
      <c r="Q41" s="7"/>
      <c r="S41" s="17"/>
      <c r="T41" s="5"/>
      <c r="U41" s="5"/>
      <c r="V41" s="5"/>
      <c r="W41" s="7"/>
      <c r="X41" s="7"/>
      <c r="Y41" s="7"/>
      <c r="Z41" s="7"/>
      <c r="AA41" s="7"/>
      <c r="AB41" s="17"/>
      <c r="AC41" s="5"/>
      <c r="AD41" s="5"/>
      <c r="AE41" s="5"/>
      <c r="AF41" s="7"/>
      <c r="AG41" s="7"/>
      <c r="AH41" s="7"/>
      <c r="AI41" s="7"/>
      <c r="AK41" s="17"/>
      <c r="AL41" s="5"/>
      <c r="AM41" s="5"/>
      <c r="AN41" s="5"/>
      <c r="AO41" s="7"/>
      <c r="AP41" s="7"/>
      <c r="AQ41" s="7"/>
      <c r="AR41" s="7"/>
    </row>
    <row r="42" spans="1:44" ht="15.75" customHeight="1">
      <c r="A42" s="4">
        <v>10</v>
      </c>
      <c r="B42" s="5">
        <v>48.5</v>
      </c>
      <c r="C42" s="5">
        <v>14.8</v>
      </c>
      <c r="D42" s="5">
        <v>4</v>
      </c>
      <c r="E42" s="5">
        <v>5.7</v>
      </c>
      <c r="F42" s="27" t="s">
        <v>364</v>
      </c>
      <c r="G42" s="24"/>
      <c r="H42" s="7"/>
      <c r="J42" s="17"/>
      <c r="K42" s="5"/>
      <c r="L42" s="5"/>
      <c r="M42" s="5"/>
      <c r="N42" s="7"/>
      <c r="O42" s="7"/>
      <c r="P42" s="7"/>
      <c r="Q42" s="7"/>
      <c r="S42" s="17"/>
      <c r="T42" s="5"/>
      <c r="U42" s="5"/>
      <c r="V42" s="5"/>
      <c r="W42" s="7"/>
      <c r="X42" s="7"/>
      <c r="Y42" s="7"/>
      <c r="Z42" s="7"/>
      <c r="AA42" s="7"/>
      <c r="AB42" s="17"/>
      <c r="AC42" s="5"/>
      <c r="AD42" s="5"/>
      <c r="AE42" s="5"/>
      <c r="AF42" s="7"/>
      <c r="AG42" s="7"/>
      <c r="AH42" s="7"/>
      <c r="AI42" s="7"/>
      <c r="AK42" s="17"/>
      <c r="AL42" s="5"/>
      <c r="AM42" s="5"/>
      <c r="AN42" s="5"/>
      <c r="AO42" s="7"/>
      <c r="AP42" s="7"/>
      <c r="AQ42" s="7"/>
      <c r="AR42" s="7"/>
    </row>
    <row r="43" spans="1:44" ht="15.75" customHeight="1">
      <c r="A43" s="8">
        <v>11</v>
      </c>
      <c r="B43" s="17">
        <v>47.2</v>
      </c>
      <c r="C43" s="17">
        <v>10.1</v>
      </c>
      <c r="D43" s="17">
        <v>2</v>
      </c>
      <c r="E43" s="17">
        <v>6</v>
      </c>
      <c r="F43" s="7"/>
      <c r="G43" s="7"/>
      <c r="H43" s="7"/>
      <c r="J43" s="17"/>
      <c r="K43" s="5"/>
      <c r="L43" s="5"/>
      <c r="M43" s="5"/>
      <c r="N43" s="7"/>
      <c r="O43" s="7"/>
      <c r="P43" s="7"/>
      <c r="Q43" s="7"/>
      <c r="S43" s="17"/>
      <c r="T43" s="5"/>
      <c r="U43" s="5"/>
      <c r="V43" s="5"/>
      <c r="W43" s="7"/>
      <c r="X43" s="7"/>
      <c r="Y43" s="7"/>
      <c r="Z43" s="7"/>
      <c r="AA43" s="7"/>
      <c r="AB43" s="17"/>
      <c r="AC43" s="5"/>
      <c r="AD43" s="5"/>
      <c r="AE43" s="5"/>
      <c r="AF43" s="7"/>
      <c r="AG43" s="7"/>
      <c r="AH43" s="7"/>
      <c r="AI43" s="7"/>
      <c r="AK43" s="17"/>
      <c r="AL43" s="5"/>
      <c r="AM43" s="5"/>
      <c r="AN43" s="5"/>
      <c r="AO43" s="7"/>
      <c r="AP43" s="7"/>
      <c r="AQ43" s="7"/>
      <c r="AR43" s="7"/>
    </row>
    <row r="44" spans="1:44" ht="15.75" customHeight="1">
      <c r="A44" s="8">
        <v>12</v>
      </c>
      <c r="B44" s="1">
        <v>44.6</v>
      </c>
      <c r="C44" s="1">
        <v>10.199999999999999</v>
      </c>
      <c r="D44" s="1">
        <v>2</v>
      </c>
      <c r="E44" s="1">
        <v>5.9</v>
      </c>
      <c r="F44" s="7"/>
      <c r="G44" s="7"/>
      <c r="H44" s="7"/>
      <c r="J44" s="5"/>
      <c r="K44" s="5"/>
      <c r="L44" s="5"/>
      <c r="M44" s="5"/>
      <c r="N44" s="7"/>
      <c r="O44" s="7"/>
      <c r="P44" s="7"/>
      <c r="Q44" s="7"/>
      <c r="S44" s="5"/>
      <c r="T44" s="5"/>
      <c r="U44" s="5"/>
      <c r="V44" s="5"/>
      <c r="W44" s="7"/>
      <c r="X44" s="7"/>
      <c r="Y44" s="7"/>
      <c r="Z44" s="7"/>
      <c r="AA44" s="7"/>
      <c r="AB44" s="5"/>
      <c r="AC44" s="5"/>
      <c r="AD44" s="5"/>
      <c r="AE44" s="5"/>
      <c r="AF44" s="7"/>
      <c r="AG44" s="7"/>
      <c r="AH44" s="7"/>
      <c r="AI44" s="7"/>
      <c r="AK44" s="5"/>
      <c r="AL44" s="5"/>
      <c r="AM44" s="5"/>
      <c r="AN44" s="5"/>
      <c r="AO44" s="7"/>
      <c r="AP44" s="7"/>
      <c r="AQ44" s="7"/>
      <c r="AR44" s="7"/>
    </row>
    <row r="45" spans="1:44" ht="15.75" customHeight="1">
      <c r="A45" s="8">
        <v>13</v>
      </c>
      <c r="B45" s="1">
        <v>43.9</v>
      </c>
      <c r="C45" s="1">
        <v>11.4</v>
      </c>
      <c r="D45" s="1">
        <v>2</v>
      </c>
      <c r="E45" s="1">
        <v>6.2</v>
      </c>
      <c r="F45" s="7"/>
      <c r="G45" s="7"/>
      <c r="H45" s="7"/>
      <c r="J45" s="5"/>
      <c r="K45" s="5"/>
      <c r="L45" s="5"/>
      <c r="M45" s="5"/>
      <c r="N45" s="7"/>
      <c r="O45" s="7"/>
      <c r="P45" s="7"/>
      <c r="Q45" s="7"/>
      <c r="S45" s="5"/>
      <c r="T45" s="5"/>
      <c r="U45" s="5"/>
      <c r="V45" s="5"/>
      <c r="W45" s="7"/>
      <c r="X45" s="7"/>
      <c r="Y45" s="7"/>
      <c r="Z45" s="7"/>
      <c r="AA45" s="7"/>
      <c r="AB45" s="5"/>
      <c r="AC45" s="5"/>
      <c r="AD45" s="5"/>
      <c r="AE45" s="5"/>
      <c r="AF45" s="7"/>
      <c r="AG45" s="7"/>
      <c r="AH45" s="7"/>
      <c r="AI45" s="7"/>
      <c r="AK45" s="5"/>
      <c r="AL45" s="5"/>
      <c r="AM45" s="5"/>
      <c r="AN45" s="5"/>
      <c r="AO45" s="7"/>
      <c r="AP45" s="7"/>
      <c r="AQ45" s="7"/>
      <c r="AR45" s="7"/>
    </row>
    <row r="46" spans="1:44" ht="15.75" customHeight="1">
      <c r="A46" s="8">
        <v>14</v>
      </c>
      <c r="B46" s="1">
        <v>48.8</v>
      </c>
      <c r="C46" s="1">
        <v>13.3</v>
      </c>
      <c r="D46" s="1">
        <v>4</v>
      </c>
      <c r="E46" s="1">
        <v>4.9000000000000004</v>
      </c>
      <c r="F46" s="7"/>
      <c r="G46" s="7"/>
      <c r="H46" s="7"/>
      <c r="J46" s="5"/>
      <c r="K46" s="5"/>
      <c r="L46" s="5"/>
      <c r="M46" s="5"/>
      <c r="N46" s="7"/>
      <c r="O46" s="7"/>
      <c r="P46" s="7"/>
      <c r="Q46" s="7"/>
      <c r="S46" s="5"/>
      <c r="T46" s="5"/>
      <c r="U46" s="5"/>
      <c r="V46" s="5"/>
      <c r="W46" s="7"/>
      <c r="X46" s="7"/>
      <c r="Y46" s="7"/>
      <c r="Z46" s="7"/>
      <c r="AA46" s="7"/>
      <c r="AB46" s="5"/>
      <c r="AC46" s="5"/>
      <c r="AD46" s="5"/>
      <c r="AE46" s="5"/>
      <c r="AF46" s="7"/>
      <c r="AG46" s="7"/>
      <c r="AH46" s="7"/>
      <c r="AI46" s="7"/>
      <c r="AK46" s="5"/>
      <c r="AL46" s="5"/>
      <c r="AM46" s="5"/>
      <c r="AN46" s="5"/>
      <c r="AO46" s="7"/>
      <c r="AP46" s="7"/>
      <c r="AQ46" s="7"/>
      <c r="AR46" s="7"/>
    </row>
    <row r="47" spans="1:44" ht="15.75" customHeight="1">
      <c r="A47" s="8">
        <v>15</v>
      </c>
      <c r="B47" s="1">
        <v>52</v>
      </c>
      <c r="C47" s="1">
        <v>10.9</v>
      </c>
      <c r="D47" s="1">
        <v>2</v>
      </c>
      <c r="E47" s="1">
        <v>4.5</v>
      </c>
      <c r="F47" s="7"/>
      <c r="G47" s="7"/>
      <c r="H47" s="7"/>
      <c r="J47" s="7"/>
      <c r="K47" s="7"/>
      <c r="L47" s="7"/>
      <c r="M47" s="7"/>
      <c r="N47" s="7"/>
      <c r="O47" s="7"/>
      <c r="P47" s="7"/>
      <c r="Q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K47" s="7"/>
      <c r="AL47" s="7"/>
      <c r="AM47" s="7"/>
      <c r="AN47" s="7"/>
      <c r="AO47" s="7"/>
      <c r="AP47" s="7"/>
      <c r="AQ47" s="7"/>
      <c r="AR47" s="7"/>
    </row>
    <row r="48" spans="1:44" ht="15.75" customHeight="1">
      <c r="A48" s="8">
        <v>16</v>
      </c>
      <c r="B48" s="1">
        <v>45.7</v>
      </c>
      <c r="C48" s="1">
        <v>11.4</v>
      </c>
      <c r="D48" s="1">
        <v>2</v>
      </c>
      <c r="E48" s="1">
        <v>4.5999999999999996</v>
      </c>
      <c r="F48" s="7"/>
      <c r="G48" s="7"/>
      <c r="H48" s="7"/>
      <c r="J48" s="7"/>
      <c r="K48" s="7"/>
      <c r="L48" s="7"/>
      <c r="M48" s="7"/>
      <c r="N48" s="7"/>
      <c r="O48" s="7"/>
      <c r="P48" s="7"/>
      <c r="Q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K48" s="7"/>
      <c r="AL48" s="7"/>
      <c r="AM48" s="7"/>
      <c r="AN48" s="7"/>
      <c r="AO48" s="7"/>
      <c r="AP48" s="7"/>
      <c r="AQ48" s="7"/>
      <c r="AR48" s="7"/>
    </row>
    <row r="49" spans="1:44" ht="15.75" customHeight="1">
      <c r="A49" s="8">
        <v>17</v>
      </c>
      <c r="B49" s="1">
        <v>40</v>
      </c>
      <c r="C49" s="1">
        <v>10.199999999999999</v>
      </c>
      <c r="D49" s="1">
        <v>1</v>
      </c>
      <c r="E49" s="1">
        <v>5.3</v>
      </c>
      <c r="F49" s="7"/>
      <c r="G49" s="7"/>
      <c r="H49" s="14" t="s">
        <v>133</v>
      </c>
      <c r="J49" s="14"/>
      <c r="K49" s="7"/>
      <c r="L49" s="7"/>
      <c r="M49" s="7"/>
      <c r="N49" s="7"/>
      <c r="O49" s="7"/>
      <c r="P49" s="7"/>
      <c r="Q49" s="7"/>
      <c r="S49" s="14"/>
      <c r="T49" s="7"/>
      <c r="U49" s="7"/>
      <c r="V49" s="7"/>
      <c r="W49" s="7"/>
      <c r="X49" s="7"/>
      <c r="Y49" s="7"/>
      <c r="Z49" s="7"/>
      <c r="AA49" s="7"/>
      <c r="AB49" s="14"/>
      <c r="AC49" s="7"/>
      <c r="AD49" s="7"/>
      <c r="AE49" s="7"/>
      <c r="AF49" s="7"/>
      <c r="AG49" s="7"/>
      <c r="AH49" s="7"/>
      <c r="AI49" s="7"/>
      <c r="AK49" s="14"/>
      <c r="AL49" s="7"/>
      <c r="AM49" s="7"/>
      <c r="AN49" s="7"/>
      <c r="AO49" s="7"/>
      <c r="AP49" s="7"/>
      <c r="AQ49" s="7"/>
      <c r="AR49" s="7"/>
    </row>
    <row r="50" spans="1:44" ht="15.75" customHeight="1">
      <c r="A50" s="8">
        <v>18</v>
      </c>
      <c r="B50" s="1">
        <v>44.6</v>
      </c>
      <c r="C50" s="1">
        <v>11.6</v>
      </c>
      <c r="D50" s="1" t="s">
        <v>366</v>
      </c>
      <c r="E50" s="1" t="s">
        <v>367</v>
      </c>
      <c r="F50" s="7"/>
      <c r="G50" s="7"/>
      <c r="H50" s="14" t="s">
        <v>368</v>
      </c>
      <c r="I50" s="1" t="s">
        <v>369</v>
      </c>
      <c r="J50" s="5"/>
      <c r="K50" s="5"/>
      <c r="L50" s="5"/>
      <c r="M50" s="5"/>
      <c r="N50" s="5"/>
      <c r="O50" s="7"/>
      <c r="P50" s="7"/>
      <c r="Q50" s="7"/>
      <c r="S50" s="5"/>
      <c r="T50" s="5"/>
      <c r="U50" s="5"/>
      <c r="V50" s="5"/>
      <c r="W50" s="5"/>
      <c r="X50" s="7"/>
      <c r="Y50" s="7"/>
      <c r="Z50" s="7"/>
      <c r="AA50" s="7"/>
      <c r="AB50" s="5"/>
      <c r="AC50" s="5"/>
      <c r="AD50" s="5"/>
      <c r="AE50" s="5"/>
      <c r="AF50" s="5"/>
      <c r="AG50" s="7"/>
      <c r="AH50" s="7"/>
      <c r="AI50" s="7"/>
      <c r="AK50" s="5"/>
      <c r="AL50" s="5"/>
      <c r="AM50" s="5"/>
      <c r="AN50" s="5"/>
      <c r="AO50" s="5"/>
      <c r="AP50" s="7"/>
      <c r="AQ50" s="7"/>
      <c r="AR50" s="7"/>
    </row>
    <row r="51" spans="1:44" ht="15.75" customHeight="1">
      <c r="A51" s="8">
        <v>19</v>
      </c>
      <c r="B51" s="1">
        <v>41.9</v>
      </c>
      <c r="C51" s="1">
        <v>11.4</v>
      </c>
      <c r="D51" s="1">
        <v>4</v>
      </c>
      <c r="E51" s="1" t="s">
        <v>370</v>
      </c>
      <c r="F51" s="7"/>
      <c r="G51" s="7"/>
      <c r="H51" s="7"/>
      <c r="J51" s="5"/>
      <c r="K51" s="5"/>
      <c r="L51" s="5"/>
      <c r="M51" s="5"/>
      <c r="N51" s="5"/>
      <c r="O51" s="7"/>
      <c r="P51" s="7"/>
      <c r="Q51" s="7"/>
      <c r="S51" s="5"/>
      <c r="T51" s="5"/>
      <c r="U51" s="5"/>
      <c r="V51" s="5"/>
      <c r="W51" s="5"/>
      <c r="X51" s="7"/>
      <c r="Y51" s="7"/>
      <c r="Z51" s="7"/>
      <c r="AA51" s="7"/>
      <c r="AB51" s="5"/>
      <c r="AC51" s="5"/>
      <c r="AD51" s="5"/>
      <c r="AE51" s="5"/>
      <c r="AF51" s="5"/>
      <c r="AG51" s="7"/>
      <c r="AH51" s="7"/>
      <c r="AI51" s="7"/>
      <c r="AK51" s="5"/>
      <c r="AL51" s="5"/>
      <c r="AM51" s="5"/>
      <c r="AN51" s="5"/>
      <c r="AO51" s="5"/>
      <c r="AP51" s="7"/>
      <c r="AQ51" s="7"/>
      <c r="AR51" s="7"/>
    </row>
    <row r="52" spans="1:44" ht="15.75" customHeight="1">
      <c r="A52" s="8">
        <v>20</v>
      </c>
      <c r="B52" s="1">
        <v>41</v>
      </c>
      <c r="C52" s="1">
        <v>12.2</v>
      </c>
      <c r="D52" s="17">
        <v>4</v>
      </c>
      <c r="E52" s="14">
        <v>6.2</v>
      </c>
      <c r="F52" s="27"/>
      <c r="G52" s="24"/>
      <c r="H52" s="7"/>
      <c r="J52" s="5"/>
      <c r="K52" s="5"/>
      <c r="L52" s="5"/>
      <c r="M52" s="5"/>
      <c r="N52" s="7"/>
      <c r="O52" s="27"/>
      <c r="P52" s="24"/>
      <c r="Q52" s="7"/>
      <c r="S52" s="5"/>
      <c r="T52" s="5"/>
      <c r="U52" s="5"/>
      <c r="V52" s="5"/>
      <c r="W52" s="7"/>
      <c r="X52" s="27"/>
      <c r="Y52" s="24"/>
      <c r="Z52" s="7"/>
      <c r="AA52" s="7"/>
      <c r="AB52" s="5"/>
      <c r="AC52" s="5"/>
      <c r="AD52" s="5"/>
      <c r="AE52" s="5"/>
      <c r="AF52" s="7"/>
      <c r="AG52" s="27"/>
      <c r="AH52" s="24"/>
      <c r="AI52" s="7"/>
      <c r="AK52" s="5"/>
      <c r="AL52" s="5"/>
      <c r="AM52" s="5"/>
      <c r="AN52" s="5"/>
      <c r="AO52" s="7"/>
      <c r="AP52" s="27"/>
      <c r="AQ52" s="24"/>
      <c r="AR52" s="7"/>
    </row>
    <row r="53" spans="1:44" ht="15.75" customHeight="1">
      <c r="A53" s="8">
        <v>21</v>
      </c>
      <c r="B53" s="17">
        <v>46</v>
      </c>
      <c r="C53" s="17">
        <v>12.3</v>
      </c>
      <c r="D53" s="17">
        <v>4</v>
      </c>
      <c r="E53" s="17">
        <v>3.5</v>
      </c>
      <c r="F53" s="27"/>
      <c r="G53" s="24"/>
      <c r="H53" s="7"/>
      <c r="J53" s="5"/>
      <c r="K53" s="5"/>
      <c r="L53" s="5"/>
      <c r="M53" s="5"/>
      <c r="N53" s="5"/>
      <c r="O53" s="27"/>
      <c r="P53" s="24"/>
      <c r="Q53" s="7"/>
      <c r="S53" s="5"/>
      <c r="T53" s="5"/>
      <c r="U53" s="5"/>
      <c r="V53" s="5"/>
      <c r="W53" s="5"/>
      <c r="X53" s="27"/>
      <c r="Y53" s="24"/>
      <c r="Z53" s="7"/>
      <c r="AA53" s="7"/>
      <c r="AB53" s="5"/>
      <c r="AC53" s="5"/>
      <c r="AD53" s="5"/>
      <c r="AE53" s="5"/>
      <c r="AF53" s="5"/>
      <c r="AG53" s="27"/>
      <c r="AH53" s="24"/>
      <c r="AI53" s="7"/>
      <c r="AK53" s="5"/>
      <c r="AL53" s="5"/>
      <c r="AM53" s="5"/>
      <c r="AN53" s="5"/>
      <c r="AO53" s="5"/>
      <c r="AP53" s="27"/>
      <c r="AQ53" s="24"/>
      <c r="AR53" s="7"/>
    </row>
    <row r="54" spans="1:44" ht="14">
      <c r="A54" s="8">
        <v>22</v>
      </c>
      <c r="B54" s="17">
        <v>42.3</v>
      </c>
      <c r="C54" s="17">
        <v>11.6</v>
      </c>
      <c r="D54" s="17">
        <v>4</v>
      </c>
      <c r="E54" s="17">
        <v>3</v>
      </c>
      <c r="F54" s="27"/>
      <c r="G54" s="24"/>
      <c r="H54" s="7"/>
      <c r="J54" s="5"/>
      <c r="K54" s="5"/>
      <c r="L54" s="5"/>
      <c r="M54" s="5"/>
      <c r="N54" s="5"/>
      <c r="O54" s="27"/>
      <c r="P54" s="24"/>
      <c r="Q54" s="7"/>
      <c r="S54" s="5"/>
      <c r="T54" s="5"/>
      <c r="U54" s="5"/>
      <c r="V54" s="5"/>
      <c r="W54" s="5"/>
      <c r="X54" s="27"/>
      <c r="Y54" s="24"/>
      <c r="Z54" s="7"/>
      <c r="AA54" s="7"/>
      <c r="AB54" s="5"/>
      <c r="AC54" s="5"/>
      <c r="AD54" s="5"/>
      <c r="AE54" s="5"/>
      <c r="AF54" s="5"/>
      <c r="AG54" s="27"/>
      <c r="AH54" s="24"/>
      <c r="AI54" s="7"/>
      <c r="AK54" s="5"/>
      <c r="AL54" s="5"/>
      <c r="AM54" s="5"/>
      <c r="AN54" s="5"/>
      <c r="AO54" s="5"/>
      <c r="AP54" s="27"/>
      <c r="AQ54" s="24"/>
      <c r="AR54" s="7"/>
    </row>
    <row r="55" spans="1:44" ht="14">
      <c r="A55" s="8">
        <v>23</v>
      </c>
      <c r="B55" s="17">
        <v>45</v>
      </c>
      <c r="C55" s="17">
        <v>11.1</v>
      </c>
      <c r="D55" s="17">
        <v>2</v>
      </c>
      <c r="E55" s="17">
        <v>3.8</v>
      </c>
      <c r="F55" s="27"/>
      <c r="G55" s="24"/>
      <c r="H55" s="7"/>
      <c r="J55" s="5"/>
      <c r="K55" s="5"/>
      <c r="L55" s="5"/>
      <c r="M55" s="5"/>
      <c r="N55" s="5"/>
      <c r="O55" s="27"/>
      <c r="P55" s="24"/>
      <c r="Q55" s="7"/>
      <c r="S55" s="5"/>
      <c r="T55" s="5"/>
      <c r="U55" s="5"/>
      <c r="V55" s="5"/>
      <c r="W55" s="5"/>
      <c r="X55" s="27"/>
      <c r="Y55" s="24"/>
      <c r="Z55" s="7"/>
      <c r="AA55" s="7"/>
      <c r="AB55" s="5"/>
      <c r="AC55" s="5"/>
      <c r="AD55" s="5"/>
      <c r="AE55" s="5"/>
      <c r="AF55" s="5"/>
      <c r="AG55" s="27"/>
      <c r="AH55" s="24"/>
      <c r="AI55" s="7"/>
      <c r="AK55" s="5"/>
      <c r="AL55" s="5"/>
      <c r="AM55" s="5"/>
      <c r="AN55" s="5"/>
      <c r="AO55" s="5"/>
      <c r="AP55" s="27"/>
      <c r="AQ55" s="24"/>
      <c r="AR55" s="7"/>
    </row>
    <row r="56" spans="1:44" ht="14">
      <c r="A56" s="8">
        <v>24</v>
      </c>
      <c r="B56" s="17">
        <v>40.1</v>
      </c>
      <c r="C56" s="17">
        <v>12.1</v>
      </c>
      <c r="D56" s="17">
        <v>2</v>
      </c>
      <c r="E56" s="17">
        <v>9.6</v>
      </c>
      <c r="F56" s="27"/>
      <c r="G56" s="24"/>
      <c r="H56" s="14" t="s">
        <v>358</v>
      </c>
      <c r="J56" s="5"/>
      <c r="K56" s="5"/>
      <c r="L56" s="5"/>
      <c r="M56" s="5"/>
      <c r="N56" s="5"/>
      <c r="O56" s="27"/>
      <c r="P56" s="24"/>
      <c r="Q56" s="7"/>
      <c r="S56" s="5"/>
      <c r="T56" s="5"/>
      <c r="U56" s="5"/>
      <c r="V56" s="5"/>
      <c r="W56" s="5"/>
      <c r="X56" s="27"/>
      <c r="Y56" s="24"/>
      <c r="Z56" s="7"/>
      <c r="AA56" s="7"/>
      <c r="AB56" s="5"/>
      <c r="AC56" s="5"/>
      <c r="AD56" s="5"/>
      <c r="AE56" s="5"/>
      <c r="AF56" s="5"/>
      <c r="AG56" s="27"/>
      <c r="AH56" s="24"/>
      <c r="AI56" s="7"/>
      <c r="AK56" s="5"/>
      <c r="AL56" s="5"/>
      <c r="AM56" s="5"/>
      <c r="AN56" s="5"/>
      <c r="AO56" s="5"/>
      <c r="AP56" s="27"/>
      <c r="AQ56" s="24"/>
      <c r="AR56" s="7"/>
    </row>
    <row r="57" spans="1:44" ht="14">
      <c r="A57" s="8">
        <v>25</v>
      </c>
      <c r="B57" s="17">
        <v>46.3</v>
      </c>
      <c r="C57" s="17">
        <v>12.8</v>
      </c>
      <c r="D57" s="17">
        <v>2</v>
      </c>
      <c r="E57" s="17">
        <v>9.3000000000000007</v>
      </c>
      <c r="F57" s="7"/>
      <c r="G57" s="7"/>
      <c r="H57" s="14" t="s">
        <v>69</v>
      </c>
      <c r="J57" s="5"/>
      <c r="K57" s="5"/>
      <c r="L57" s="5"/>
      <c r="M57" s="5"/>
      <c r="N57" s="5"/>
      <c r="O57" s="7"/>
      <c r="P57" s="7"/>
      <c r="Q57" s="7"/>
      <c r="S57" s="5"/>
      <c r="T57" s="5"/>
      <c r="U57" s="5"/>
      <c r="V57" s="5"/>
      <c r="W57" s="5"/>
      <c r="X57" s="7"/>
      <c r="Y57" s="7"/>
      <c r="Z57" s="7"/>
      <c r="AA57" s="7"/>
      <c r="AB57" s="5"/>
      <c r="AC57" s="5"/>
      <c r="AD57" s="5"/>
      <c r="AE57" s="5"/>
      <c r="AF57" s="5"/>
      <c r="AG57" s="7"/>
      <c r="AH57" s="7"/>
      <c r="AI57" s="7"/>
      <c r="AK57" s="5"/>
      <c r="AL57" s="5"/>
      <c r="AM57" s="5"/>
      <c r="AN57" s="5"/>
      <c r="AO57" s="5"/>
      <c r="AP57" s="7"/>
      <c r="AQ57" s="7"/>
      <c r="AR57" s="7"/>
    </row>
    <row r="58" spans="1:44" ht="14">
      <c r="A58" s="4" t="s">
        <v>10</v>
      </c>
      <c r="B58" s="9">
        <f t="shared" ref="B58:C58" si="4">AVERAGE(B33:B57)</f>
        <v>44.779999999999994</v>
      </c>
      <c r="C58" s="9">
        <f t="shared" si="4"/>
        <v>12.688000000000004</v>
      </c>
      <c r="D58" s="6" t="s">
        <v>18</v>
      </c>
      <c r="E58" s="10">
        <f>AVERAGE(E33:E57)</f>
        <v>5.4863636363636354</v>
      </c>
      <c r="F58" s="27"/>
      <c r="G58" s="24"/>
      <c r="H58" s="7"/>
      <c r="J58" s="5"/>
      <c r="K58" s="5"/>
      <c r="L58" s="5"/>
      <c r="M58" s="5"/>
      <c r="N58" s="5"/>
      <c r="O58" s="27"/>
      <c r="P58" s="24"/>
      <c r="Q58" s="7"/>
      <c r="S58" s="5"/>
      <c r="T58" s="5"/>
      <c r="U58" s="5"/>
      <c r="V58" s="5"/>
      <c r="W58" s="5"/>
      <c r="X58" s="27"/>
      <c r="Y58" s="24"/>
      <c r="Z58" s="7"/>
      <c r="AA58" s="7"/>
      <c r="AB58" s="5"/>
      <c r="AC58" s="5"/>
      <c r="AD58" s="5"/>
      <c r="AE58" s="5"/>
      <c r="AF58" s="5"/>
      <c r="AG58" s="27"/>
      <c r="AH58" s="24"/>
      <c r="AI58" s="7"/>
      <c r="AK58" s="5"/>
      <c r="AL58" s="5"/>
      <c r="AM58" s="5"/>
      <c r="AN58" s="5"/>
      <c r="AO58" s="5"/>
      <c r="AP58" s="27"/>
      <c r="AQ58" s="24"/>
      <c r="AR58" s="7"/>
    </row>
    <row r="59" spans="1:44" ht="14">
      <c r="A59" s="4" t="s">
        <v>11</v>
      </c>
      <c r="B59" s="5">
        <f t="shared" ref="B59:E59" si="5">MIN(B33:B57)</f>
        <v>40</v>
      </c>
      <c r="C59" s="5">
        <f t="shared" si="5"/>
        <v>10.1</v>
      </c>
      <c r="D59" s="5">
        <f t="shared" si="5"/>
        <v>1</v>
      </c>
      <c r="E59" s="7">
        <f t="shared" si="5"/>
        <v>3</v>
      </c>
      <c r="F59" s="27"/>
      <c r="G59" s="24"/>
      <c r="H59" s="7"/>
      <c r="J59" s="5"/>
      <c r="K59" s="5"/>
      <c r="L59" s="5"/>
      <c r="M59" s="5"/>
      <c r="N59" s="5"/>
      <c r="O59" s="27"/>
      <c r="P59" s="24"/>
      <c r="Q59" s="7"/>
      <c r="S59" s="5"/>
      <c r="T59" s="5"/>
      <c r="U59" s="5"/>
      <c r="V59" s="5"/>
      <c r="W59" s="5"/>
      <c r="X59" s="27"/>
      <c r="Y59" s="24"/>
      <c r="Z59" s="7"/>
      <c r="AA59" s="7"/>
      <c r="AB59" s="5"/>
      <c r="AC59" s="5"/>
      <c r="AD59" s="5"/>
      <c r="AE59" s="5"/>
      <c r="AF59" s="5"/>
      <c r="AG59" s="27"/>
      <c r="AH59" s="24"/>
      <c r="AI59" s="7"/>
      <c r="AK59" s="5"/>
      <c r="AL59" s="5"/>
      <c r="AM59" s="5"/>
      <c r="AN59" s="5"/>
      <c r="AO59" s="5"/>
      <c r="AP59" s="27"/>
      <c r="AQ59" s="24"/>
      <c r="AR59" s="7"/>
    </row>
    <row r="60" spans="1:44" ht="14">
      <c r="A60" s="4" t="s">
        <v>12</v>
      </c>
      <c r="B60" s="5">
        <f t="shared" ref="B60:E60" si="6">MAX(B34:B58)</f>
        <v>52</v>
      </c>
      <c r="C60" s="5">
        <f t="shared" si="6"/>
        <v>15.4</v>
      </c>
      <c r="D60" s="5">
        <f t="shared" si="6"/>
        <v>4</v>
      </c>
      <c r="E60" s="7">
        <f t="shared" si="6"/>
        <v>9.6</v>
      </c>
      <c r="F60" s="27"/>
      <c r="G60" s="24"/>
      <c r="H60" s="7"/>
      <c r="J60" s="5"/>
      <c r="K60" s="5"/>
      <c r="L60" s="5"/>
      <c r="M60" s="5"/>
      <c r="N60" s="5"/>
      <c r="O60" s="27"/>
      <c r="P60" s="24"/>
      <c r="Q60" s="7"/>
      <c r="S60" s="5"/>
      <c r="T60" s="5"/>
      <c r="U60" s="5"/>
      <c r="V60" s="5"/>
      <c r="W60" s="5"/>
      <c r="X60" s="27"/>
      <c r="Y60" s="24"/>
      <c r="Z60" s="7"/>
      <c r="AA60" s="7"/>
      <c r="AB60" s="5"/>
      <c r="AC60" s="5"/>
      <c r="AD60" s="5"/>
      <c r="AE60" s="5"/>
      <c r="AF60" s="5"/>
      <c r="AG60" s="27"/>
      <c r="AH60" s="24"/>
      <c r="AI60" s="7"/>
      <c r="AK60" s="5"/>
      <c r="AL60" s="5"/>
      <c r="AM60" s="5"/>
      <c r="AN60" s="5"/>
      <c r="AO60" s="5"/>
      <c r="AP60" s="27"/>
      <c r="AQ60" s="24"/>
      <c r="AR60" s="7"/>
    </row>
    <row r="61" spans="1:44" ht="14">
      <c r="A61" s="2"/>
      <c r="B61" s="7"/>
      <c r="C61" s="7"/>
      <c r="D61" s="7"/>
      <c r="E61" s="7"/>
      <c r="F61" s="7"/>
      <c r="G61" s="7"/>
      <c r="H61" s="7"/>
      <c r="J61" s="17"/>
      <c r="K61" s="5"/>
      <c r="L61" s="5"/>
      <c r="M61" s="5"/>
      <c r="N61" s="7"/>
      <c r="O61" s="7"/>
      <c r="P61" s="7"/>
      <c r="Q61" s="7"/>
      <c r="S61" s="17"/>
      <c r="T61" s="5"/>
      <c r="U61" s="5"/>
      <c r="V61" s="5"/>
      <c r="W61" s="7"/>
      <c r="X61" s="7"/>
      <c r="Y61" s="7"/>
      <c r="Z61" s="7"/>
      <c r="AA61" s="7"/>
      <c r="AB61" s="17"/>
      <c r="AC61" s="5"/>
      <c r="AD61" s="5"/>
      <c r="AE61" s="5"/>
      <c r="AF61" s="7"/>
      <c r="AG61" s="7"/>
      <c r="AH61" s="7"/>
      <c r="AI61" s="7"/>
      <c r="AK61" s="17"/>
      <c r="AL61" s="5"/>
      <c r="AM61" s="5"/>
      <c r="AN61" s="5"/>
      <c r="AO61" s="7"/>
      <c r="AP61" s="7"/>
      <c r="AQ61" s="7"/>
      <c r="AR61" s="7"/>
    </row>
    <row r="62" spans="1:44" ht="14">
      <c r="A62" s="2" t="s">
        <v>19</v>
      </c>
      <c r="B62" s="7" t="s">
        <v>20</v>
      </c>
      <c r="C62" s="7" t="s">
        <v>21</v>
      </c>
      <c r="D62" s="27" t="s">
        <v>22</v>
      </c>
      <c r="E62" s="24"/>
      <c r="F62" s="14" t="s">
        <v>23</v>
      </c>
      <c r="G62" s="14" t="s">
        <v>24</v>
      </c>
      <c r="H62" s="14" t="s">
        <v>25</v>
      </c>
      <c r="J62" s="17"/>
      <c r="K62" s="5"/>
      <c r="L62" s="5"/>
      <c r="M62" s="5"/>
      <c r="N62" s="7"/>
      <c r="O62" s="7"/>
      <c r="P62" s="7"/>
      <c r="Q62" s="7"/>
      <c r="S62" s="17"/>
      <c r="T62" s="5"/>
      <c r="U62" s="5"/>
      <c r="V62" s="5"/>
      <c r="W62" s="7"/>
      <c r="X62" s="7"/>
      <c r="Y62" s="7"/>
      <c r="Z62" s="7"/>
      <c r="AA62" s="7"/>
      <c r="AB62" s="17"/>
      <c r="AC62" s="5"/>
      <c r="AD62" s="5"/>
      <c r="AE62" s="5"/>
      <c r="AF62" s="7"/>
      <c r="AG62" s="7"/>
      <c r="AH62" s="7"/>
      <c r="AI62" s="7"/>
      <c r="AK62" s="17"/>
      <c r="AL62" s="5"/>
      <c r="AM62" s="5"/>
      <c r="AN62" s="5"/>
      <c r="AO62" s="7"/>
      <c r="AP62" s="7"/>
      <c r="AQ62" s="7"/>
      <c r="AR62" s="7"/>
    </row>
    <row r="63" spans="1:44" ht="14">
      <c r="A63" s="2"/>
      <c r="B63" s="7"/>
      <c r="C63" s="7"/>
      <c r="D63" s="7"/>
      <c r="E63" s="7"/>
      <c r="F63" s="7"/>
      <c r="G63" s="7"/>
      <c r="H63" s="7"/>
      <c r="J63" s="17"/>
      <c r="K63" s="5"/>
      <c r="L63" s="5"/>
      <c r="M63" s="5"/>
      <c r="N63" s="7"/>
      <c r="O63" s="7"/>
      <c r="P63" s="7"/>
      <c r="Q63" s="7"/>
      <c r="S63" s="17"/>
      <c r="T63" s="5"/>
      <c r="U63" s="5"/>
      <c r="V63" s="5"/>
      <c r="W63" s="7"/>
      <c r="X63" s="7"/>
      <c r="Y63" s="7"/>
      <c r="Z63" s="7"/>
      <c r="AA63" s="7"/>
      <c r="AB63" s="17"/>
      <c r="AC63" s="5"/>
      <c r="AD63" s="5"/>
      <c r="AE63" s="5"/>
      <c r="AF63" s="7"/>
      <c r="AG63" s="7"/>
      <c r="AH63" s="7"/>
      <c r="AI63" s="7"/>
      <c r="AK63" s="17"/>
      <c r="AL63" s="5"/>
      <c r="AM63" s="5"/>
      <c r="AN63" s="5"/>
      <c r="AO63" s="7"/>
      <c r="AP63" s="7"/>
      <c r="AQ63" s="7"/>
      <c r="AR63" s="7"/>
    </row>
    <row r="64" spans="1:44" ht="14">
      <c r="A64" s="2" t="s">
        <v>26</v>
      </c>
      <c r="B64" s="7" t="s">
        <v>27</v>
      </c>
      <c r="C64" s="7"/>
      <c r="D64" s="7"/>
      <c r="E64" s="7"/>
      <c r="F64" s="7"/>
      <c r="G64" s="7"/>
      <c r="H64" s="7"/>
      <c r="J64" s="17"/>
      <c r="K64" s="5"/>
      <c r="L64" s="5"/>
      <c r="M64" s="5"/>
      <c r="N64" s="7"/>
      <c r="O64" s="7"/>
      <c r="P64" s="7"/>
      <c r="Q64" s="7"/>
      <c r="S64" s="17"/>
      <c r="T64" s="5"/>
      <c r="U64" s="5"/>
      <c r="V64" s="5"/>
      <c r="W64" s="7"/>
      <c r="X64" s="7"/>
      <c r="Y64" s="7"/>
      <c r="Z64" s="7"/>
      <c r="AA64" s="7"/>
      <c r="AB64" s="17"/>
      <c r="AC64" s="5"/>
      <c r="AD64" s="5"/>
      <c r="AE64" s="5"/>
      <c r="AF64" s="7"/>
      <c r="AG64" s="7"/>
      <c r="AH64" s="7"/>
      <c r="AI64" s="7"/>
      <c r="AK64" s="17"/>
      <c r="AL64" s="5"/>
      <c r="AM64" s="5"/>
      <c r="AN64" s="5"/>
      <c r="AO64" s="7"/>
      <c r="AP64" s="7"/>
      <c r="AQ64" s="7"/>
      <c r="AR64" s="7"/>
    </row>
    <row r="65" spans="1:44" ht="14">
      <c r="A65" s="2"/>
      <c r="B65" s="14" t="s">
        <v>294</v>
      </c>
      <c r="C65" s="7"/>
      <c r="D65" s="7"/>
      <c r="E65" s="7"/>
      <c r="F65" s="7"/>
      <c r="G65" s="7"/>
      <c r="H65" s="7"/>
      <c r="J65" s="17"/>
      <c r="K65" s="5"/>
      <c r="L65" s="5"/>
      <c r="M65" s="5"/>
      <c r="N65" s="7"/>
      <c r="O65" s="7"/>
      <c r="P65" s="7"/>
      <c r="Q65" s="7"/>
      <c r="S65" s="17"/>
      <c r="T65" s="5"/>
      <c r="U65" s="5"/>
      <c r="V65" s="5"/>
      <c r="W65" s="7"/>
      <c r="X65" s="7"/>
      <c r="Y65" s="7"/>
      <c r="Z65" s="7"/>
      <c r="AA65" s="7"/>
      <c r="AB65" s="17"/>
      <c r="AC65" s="5"/>
      <c r="AD65" s="5"/>
      <c r="AE65" s="5"/>
      <c r="AF65" s="7"/>
      <c r="AG65" s="7"/>
      <c r="AH65" s="7"/>
      <c r="AI65" s="7"/>
      <c r="AK65" s="17"/>
      <c r="AL65" s="5"/>
      <c r="AM65" s="5"/>
      <c r="AN65" s="5"/>
      <c r="AO65" s="7"/>
      <c r="AP65" s="7"/>
      <c r="AQ65" s="7"/>
      <c r="AR65" s="7"/>
    </row>
    <row r="66" spans="1:44" ht="14">
      <c r="A66" s="17"/>
      <c r="B66" s="5"/>
      <c r="C66" s="5"/>
      <c r="D66" s="5"/>
      <c r="E66" s="7"/>
      <c r="F66" s="7"/>
      <c r="G66" s="7"/>
      <c r="H66" s="7"/>
      <c r="J66" s="17"/>
      <c r="K66" s="5"/>
      <c r="L66" s="5"/>
      <c r="M66" s="5"/>
      <c r="N66" s="7"/>
      <c r="O66" s="7"/>
      <c r="P66" s="7"/>
      <c r="Q66" s="7"/>
      <c r="S66" s="17"/>
      <c r="T66" s="5"/>
      <c r="U66" s="5"/>
      <c r="V66" s="5"/>
      <c r="W66" s="7"/>
      <c r="X66" s="7"/>
      <c r="Y66" s="7"/>
      <c r="Z66" s="7"/>
      <c r="AA66" s="7"/>
      <c r="AB66" s="17"/>
      <c r="AC66" s="5"/>
      <c r="AD66" s="5"/>
      <c r="AE66" s="5"/>
      <c r="AF66" s="7"/>
      <c r="AG66" s="7"/>
      <c r="AH66" s="7"/>
      <c r="AI66" s="7"/>
      <c r="AK66" s="17"/>
      <c r="AL66" s="5"/>
      <c r="AM66" s="5"/>
      <c r="AN66" s="5"/>
      <c r="AO66" s="7"/>
      <c r="AP66" s="7"/>
      <c r="AQ66" s="7"/>
      <c r="AR66" s="7"/>
    </row>
    <row r="67" spans="1:44" ht="14">
      <c r="A67" s="17"/>
      <c r="B67" s="5"/>
      <c r="C67" s="5"/>
      <c r="D67" s="5"/>
      <c r="E67" s="7"/>
      <c r="F67" s="7"/>
      <c r="G67" s="7"/>
      <c r="H67" s="7"/>
      <c r="J67" s="17"/>
      <c r="K67" s="5"/>
      <c r="L67" s="5"/>
      <c r="M67" s="5"/>
      <c r="N67" s="7"/>
      <c r="O67" s="7"/>
      <c r="P67" s="7"/>
      <c r="Q67" s="7"/>
      <c r="S67" s="17"/>
      <c r="T67" s="5"/>
      <c r="U67" s="5"/>
      <c r="V67" s="5"/>
      <c r="W67" s="7"/>
      <c r="X67" s="7"/>
      <c r="Y67" s="7"/>
      <c r="Z67" s="7"/>
      <c r="AA67" s="7"/>
      <c r="AB67" s="17"/>
      <c r="AC67" s="5"/>
      <c r="AD67" s="5"/>
      <c r="AE67" s="5"/>
      <c r="AF67" s="7"/>
      <c r="AG67" s="7"/>
      <c r="AH67" s="7"/>
      <c r="AI67" s="7"/>
      <c r="AK67" s="17"/>
      <c r="AL67" s="5"/>
      <c r="AM67" s="5"/>
      <c r="AN67" s="5"/>
      <c r="AO67" s="7"/>
      <c r="AP67" s="7"/>
      <c r="AQ67" s="7"/>
      <c r="AR67" s="7"/>
    </row>
    <row r="68" spans="1:44" ht="14">
      <c r="A68" s="17"/>
      <c r="B68" s="5"/>
      <c r="C68" s="5"/>
      <c r="D68" s="5"/>
      <c r="E68" s="7"/>
      <c r="F68" s="7"/>
      <c r="G68" s="7"/>
      <c r="H68" s="7"/>
      <c r="J68" s="17"/>
      <c r="K68" s="5"/>
      <c r="L68" s="5"/>
      <c r="M68" s="5"/>
      <c r="N68" s="7"/>
      <c r="O68" s="7"/>
      <c r="P68" s="7"/>
      <c r="Q68" s="7"/>
      <c r="S68" s="17"/>
      <c r="T68" s="5"/>
      <c r="U68" s="5"/>
      <c r="V68" s="5"/>
      <c r="W68" s="7"/>
      <c r="X68" s="7"/>
      <c r="Y68" s="7"/>
      <c r="Z68" s="7"/>
      <c r="AA68" s="7"/>
      <c r="AB68" s="17"/>
      <c r="AC68" s="5"/>
      <c r="AD68" s="5"/>
      <c r="AE68" s="5"/>
      <c r="AF68" s="7"/>
      <c r="AG68" s="7"/>
      <c r="AH68" s="7"/>
      <c r="AI68" s="7"/>
      <c r="AK68" s="17"/>
      <c r="AL68" s="5"/>
      <c r="AM68" s="5"/>
      <c r="AN68" s="5"/>
      <c r="AO68" s="7"/>
      <c r="AP68" s="7"/>
      <c r="AQ68" s="7"/>
      <c r="AR68" s="7"/>
    </row>
    <row r="69" spans="1:44" ht="14">
      <c r="A69" s="17"/>
      <c r="B69" s="5"/>
      <c r="C69" s="5"/>
      <c r="D69" s="5"/>
      <c r="E69" s="7"/>
      <c r="F69" s="7"/>
      <c r="G69" s="7"/>
      <c r="H69" s="7"/>
      <c r="J69" s="17"/>
      <c r="K69" s="5"/>
      <c r="L69" s="5"/>
      <c r="M69" s="5"/>
      <c r="N69" s="7"/>
      <c r="O69" s="7"/>
      <c r="P69" s="7"/>
      <c r="Q69" s="7"/>
      <c r="S69" s="17"/>
      <c r="T69" s="5"/>
      <c r="U69" s="5"/>
      <c r="V69" s="5"/>
      <c r="W69" s="7"/>
      <c r="X69" s="7"/>
      <c r="Y69" s="7"/>
      <c r="Z69" s="7"/>
      <c r="AA69" s="7"/>
      <c r="AB69" s="17"/>
      <c r="AC69" s="5"/>
      <c r="AD69" s="5"/>
      <c r="AE69" s="5"/>
      <c r="AF69" s="7"/>
      <c r="AG69" s="7"/>
      <c r="AH69" s="7"/>
      <c r="AI69" s="7"/>
      <c r="AK69" s="17"/>
      <c r="AL69" s="5"/>
      <c r="AM69" s="5"/>
      <c r="AN69" s="5"/>
      <c r="AO69" s="7"/>
      <c r="AP69" s="7"/>
      <c r="AQ69" s="7"/>
      <c r="AR69" s="7"/>
    </row>
    <row r="70" spans="1:44" ht="14">
      <c r="A70" s="17"/>
      <c r="B70" s="5"/>
      <c r="C70" s="5"/>
      <c r="D70" s="5"/>
      <c r="E70" s="7"/>
      <c r="F70" s="7"/>
      <c r="G70" s="7"/>
      <c r="H70" s="7"/>
      <c r="J70" s="17"/>
      <c r="K70" s="5"/>
      <c r="L70" s="5"/>
      <c r="M70" s="5"/>
      <c r="N70" s="7"/>
      <c r="O70" s="7"/>
      <c r="P70" s="7"/>
      <c r="Q70" s="7"/>
      <c r="S70" s="17"/>
      <c r="T70" s="5"/>
      <c r="U70" s="5"/>
      <c r="V70" s="5"/>
      <c r="W70" s="7"/>
      <c r="X70" s="7"/>
      <c r="Y70" s="7"/>
      <c r="Z70" s="7"/>
      <c r="AA70" s="7"/>
      <c r="AB70" s="17"/>
      <c r="AC70" s="5"/>
      <c r="AD70" s="5"/>
      <c r="AE70" s="5"/>
      <c r="AF70" s="7"/>
      <c r="AG70" s="7"/>
      <c r="AH70" s="7"/>
      <c r="AI70" s="7"/>
      <c r="AK70" s="17"/>
      <c r="AL70" s="5"/>
      <c r="AM70" s="5"/>
      <c r="AN70" s="5"/>
      <c r="AO70" s="7"/>
      <c r="AP70" s="7"/>
      <c r="AQ70" s="7"/>
      <c r="AR70" s="7"/>
    </row>
    <row r="71" spans="1:44" ht="14">
      <c r="A71" s="17"/>
      <c r="B71" s="5"/>
      <c r="C71" s="5"/>
      <c r="D71" s="5"/>
      <c r="E71" s="7"/>
      <c r="F71" s="7"/>
      <c r="G71" s="7"/>
      <c r="H71" s="7"/>
      <c r="J71" s="17"/>
      <c r="K71" s="5"/>
      <c r="L71" s="5"/>
      <c r="M71" s="5"/>
      <c r="N71" s="7"/>
      <c r="O71" s="7"/>
      <c r="P71" s="7"/>
      <c r="Q71" s="7"/>
      <c r="S71" s="17"/>
      <c r="T71" s="5"/>
      <c r="U71" s="5"/>
      <c r="V71" s="5"/>
      <c r="W71" s="7"/>
      <c r="X71" s="7"/>
      <c r="Y71" s="7"/>
      <c r="Z71" s="7"/>
      <c r="AA71" s="7"/>
      <c r="AB71" s="17"/>
      <c r="AC71" s="5"/>
      <c r="AD71" s="5"/>
      <c r="AE71" s="5"/>
      <c r="AF71" s="7"/>
      <c r="AG71" s="7"/>
      <c r="AH71" s="7"/>
      <c r="AI71" s="7"/>
      <c r="AK71" s="17"/>
      <c r="AL71" s="5"/>
      <c r="AM71" s="5"/>
      <c r="AN71" s="5"/>
      <c r="AO71" s="7"/>
      <c r="AP71" s="7"/>
      <c r="AQ71" s="7"/>
      <c r="AR71" s="7"/>
    </row>
    <row r="72" spans="1:44" ht="14">
      <c r="A72" s="17"/>
      <c r="B72" s="5"/>
      <c r="C72" s="5"/>
      <c r="D72" s="5"/>
      <c r="E72" s="7"/>
      <c r="F72" s="7"/>
      <c r="G72" s="7"/>
      <c r="H72" s="7"/>
      <c r="J72" s="17"/>
      <c r="K72" s="5"/>
      <c r="L72" s="5"/>
      <c r="M72" s="5"/>
      <c r="N72" s="7"/>
      <c r="O72" s="7"/>
      <c r="P72" s="7"/>
      <c r="Q72" s="7"/>
      <c r="S72" s="17"/>
      <c r="T72" s="5"/>
      <c r="U72" s="5"/>
      <c r="V72" s="5"/>
      <c r="W72" s="7"/>
      <c r="X72" s="7"/>
      <c r="Y72" s="7"/>
      <c r="Z72" s="7"/>
      <c r="AA72" s="7"/>
      <c r="AB72" s="17"/>
      <c r="AC72" s="5"/>
      <c r="AD72" s="5"/>
      <c r="AE72" s="5"/>
      <c r="AF72" s="7"/>
      <c r="AG72" s="7"/>
      <c r="AH72" s="7"/>
      <c r="AI72" s="7"/>
      <c r="AK72" s="17"/>
      <c r="AL72" s="5"/>
      <c r="AM72" s="5"/>
      <c r="AN72" s="5"/>
      <c r="AO72" s="7"/>
      <c r="AP72" s="7"/>
      <c r="AQ72" s="7"/>
      <c r="AR72" s="7"/>
    </row>
    <row r="73" spans="1:44" ht="14">
      <c r="A73" s="17"/>
      <c r="B73" s="5"/>
      <c r="C73" s="5"/>
      <c r="D73" s="5"/>
      <c r="E73" s="7"/>
      <c r="F73" s="7"/>
      <c r="G73" s="7"/>
      <c r="H73" s="7"/>
      <c r="J73" s="17"/>
      <c r="K73" s="5"/>
      <c r="L73" s="5"/>
      <c r="M73" s="5"/>
      <c r="N73" s="7"/>
      <c r="O73" s="7"/>
      <c r="P73" s="7"/>
      <c r="Q73" s="7"/>
      <c r="S73" s="17"/>
      <c r="T73" s="5"/>
      <c r="U73" s="5"/>
      <c r="V73" s="5"/>
      <c r="W73" s="7"/>
      <c r="X73" s="7"/>
      <c r="Y73" s="7"/>
      <c r="Z73" s="7"/>
      <c r="AA73" s="7"/>
      <c r="AB73" s="17"/>
      <c r="AC73" s="5"/>
      <c r="AD73" s="5"/>
      <c r="AE73" s="5"/>
      <c r="AF73" s="7"/>
      <c r="AG73" s="7"/>
      <c r="AH73" s="7"/>
      <c r="AI73" s="7"/>
      <c r="AK73" s="17"/>
      <c r="AL73" s="5"/>
      <c r="AM73" s="5"/>
      <c r="AN73" s="5"/>
      <c r="AO73" s="7"/>
      <c r="AP73" s="7"/>
      <c r="AQ73" s="7"/>
      <c r="AR73" s="7"/>
    </row>
    <row r="74" spans="1:44" ht="14">
      <c r="A74" s="17"/>
      <c r="B74" s="5"/>
      <c r="C74" s="5"/>
      <c r="D74" s="5"/>
      <c r="E74" s="7"/>
      <c r="F74" s="7"/>
      <c r="G74" s="7"/>
      <c r="H74" s="7"/>
      <c r="J74" s="17"/>
      <c r="K74" s="5"/>
      <c r="L74" s="5"/>
      <c r="M74" s="5"/>
      <c r="N74" s="7"/>
      <c r="O74" s="7"/>
      <c r="P74" s="7"/>
      <c r="Q74" s="7"/>
      <c r="S74" s="17"/>
      <c r="T74" s="5"/>
      <c r="U74" s="5"/>
      <c r="V74" s="5"/>
      <c r="W74" s="7"/>
      <c r="X74" s="7"/>
      <c r="Y74" s="7"/>
      <c r="Z74" s="7"/>
      <c r="AA74" s="7"/>
      <c r="AB74" s="17"/>
      <c r="AC74" s="5"/>
      <c r="AD74" s="5"/>
      <c r="AE74" s="5"/>
      <c r="AF74" s="7"/>
      <c r="AG74" s="7"/>
      <c r="AH74" s="7"/>
      <c r="AI74" s="7"/>
      <c r="AK74" s="17"/>
      <c r="AL74" s="5"/>
      <c r="AM74" s="5"/>
      <c r="AN74" s="5"/>
      <c r="AO74" s="7"/>
      <c r="AP74" s="7"/>
      <c r="AQ74" s="7"/>
      <c r="AR74" s="7"/>
    </row>
    <row r="75" spans="1:44" ht="14">
      <c r="A75" s="17"/>
      <c r="B75" s="5"/>
      <c r="C75" s="5"/>
      <c r="D75" s="5"/>
      <c r="E75" s="7"/>
      <c r="F75" s="7"/>
      <c r="G75" s="7"/>
      <c r="H75" s="7"/>
      <c r="J75" s="17"/>
      <c r="K75" s="5"/>
      <c r="L75" s="5"/>
      <c r="M75" s="5"/>
      <c r="N75" s="7"/>
      <c r="O75" s="7"/>
      <c r="P75" s="7"/>
      <c r="Q75" s="7"/>
      <c r="S75" s="17"/>
      <c r="T75" s="5"/>
      <c r="U75" s="5"/>
      <c r="V75" s="5"/>
      <c r="W75" s="7"/>
      <c r="X75" s="7"/>
      <c r="Y75" s="7"/>
      <c r="Z75" s="7"/>
      <c r="AA75" s="7"/>
      <c r="AB75" s="17"/>
      <c r="AC75" s="5"/>
      <c r="AD75" s="5"/>
      <c r="AE75" s="5"/>
      <c r="AF75" s="7"/>
      <c r="AG75" s="7"/>
      <c r="AH75" s="7"/>
      <c r="AI75" s="7"/>
      <c r="AK75" s="17"/>
      <c r="AL75" s="5"/>
      <c r="AM75" s="5"/>
      <c r="AN75" s="5"/>
      <c r="AO75" s="7"/>
      <c r="AP75" s="7"/>
      <c r="AQ75" s="7"/>
      <c r="AR75" s="7"/>
    </row>
    <row r="76" spans="1:44" ht="14">
      <c r="A76" s="5"/>
      <c r="B76" s="5"/>
      <c r="C76" s="5"/>
      <c r="D76" s="5"/>
      <c r="E76" s="7"/>
      <c r="F76" s="7"/>
      <c r="G76" s="7"/>
      <c r="H76" s="7"/>
      <c r="J76" s="5"/>
      <c r="K76" s="5"/>
      <c r="L76" s="5"/>
      <c r="M76" s="5"/>
      <c r="N76" s="7"/>
      <c r="O76" s="7"/>
      <c r="P76" s="7"/>
      <c r="Q76" s="7"/>
      <c r="S76" s="5"/>
      <c r="T76" s="5"/>
      <c r="U76" s="5"/>
      <c r="V76" s="5"/>
      <c r="W76" s="7"/>
      <c r="X76" s="7"/>
      <c r="Y76" s="7"/>
      <c r="Z76" s="7"/>
      <c r="AA76" s="7"/>
      <c r="AB76" s="5"/>
      <c r="AC76" s="5"/>
      <c r="AD76" s="5"/>
      <c r="AE76" s="5"/>
      <c r="AF76" s="7"/>
      <c r="AG76" s="7"/>
      <c r="AH76" s="7"/>
      <c r="AI76" s="7"/>
      <c r="AK76" s="5"/>
      <c r="AL76" s="5"/>
      <c r="AM76" s="5"/>
      <c r="AN76" s="5"/>
      <c r="AO76" s="7"/>
      <c r="AP76" s="7"/>
      <c r="AQ76" s="7"/>
      <c r="AR76" s="7"/>
    </row>
    <row r="77" spans="1:44" ht="14">
      <c r="A77" s="5"/>
      <c r="B77" s="5"/>
      <c r="C77" s="5"/>
      <c r="D77" s="5"/>
      <c r="E77" s="7"/>
      <c r="F77" s="7"/>
      <c r="G77" s="7"/>
      <c r="H77" s="7"/>
      <c r="J77" s="5"/>
      <c r="K77" s="5"/>
      <c r="L77" s="5"/>
      <c r="M77" s="5"/>
      <c r="N77" s="7"/>
      <c r="O77" s="7"/>
      <c r="P77" s="7"/>
      <c r="Q77" s="7"/>
      <c r="S77" s="5"/>
      <c r="T77" s="5"/>
      <c r="U77" s="5"/>
      <c r="V77" s="5"/>
      <c r="W77" s="7"/>
      <c r="X77" s="7"/>
      <c r="Y77" s="7"/>
      <c r="Z77" s="7"/>
      <c r="AA77" s="7"/>
      <c r="AB77" s="5"/>
      <c r="AC77" s="5"/>
      <c r="AD77" s="5"/>
      <c r="AE77" s="5"/>
      <c r="AF77" s="7"/>
      <c r="AG77" s="7"/>
      <c r="AH77" s="7"/>
      <c r="AI77" s="7"/>
      <c r="AK77" s="5"/>
      <c r="AL77" s="5"/>
      <c r="AM77" s="5"/>
      <c r="AN77" s="5"/>
      <c r="AO77" s="7"/>
      <c r="AP77" s="7"/>
      <c r="AQ77" s="7"/>
      <c r="AR77" s="7"/>
    </row>
    <row r="78" spans="1:44" ht="14">
      <c r="A78" s="5"/>
      <c r="B78" s="5"/>
      <c r="C78" s="5"/>
      <c r="D78" s="5"/>
      <c r="E78" s="7"/>
      <c r="F78" s="7"/>
      <c r="G78" s="7"/>
      <c r="H78" s="7"/>
      <c r="J78" s="5"/>
      <c r="K78" s="5"/>
      <c r="L78" s="5"/>
      <c r="M78" s="5"/>
      <c r="N78" s="7"/>
      <c r="O78" s="7"/>
      <c r="P78" s="7"/>
      <c r="Q78" s="7"/>
      <c r="S78" s="5"/>
      <c r="T78" s="5"/>
      <c r="U78" s="5"/>
      <c r="V78" s="5"/>
      <c r="W78" s="7"/>
      <c r="X78" s="7"/>
      <c r="Y78" s="7"/>
      <c r="Z78" s="7"/>
      <c r="AA78" s="7"/>
      <c r="AB78" s="5"/>
      <c r="AC78" s="5"/>
      <c r="AD78" s="5"/>
      <c r="AE78" s="5"/>
      <c r="AF78" s="7"/>
      <c r="AG78" s="7"/>
      <c r="AH78" s="7"/>
      <c r="AI78" s="7"/>
      <c r="AK78" s="5"/>
      <c r="AL78" s="5"/>
      <c r="AM78" s="5"/>
      <c r="AN78" s="5"/>
      <c r="AO78" s="7"/>
      <c r="AP78" s="7"/>
      <c r="AQ78" s="7"/>
      <c r="AR78" s="7"/>
    </row>
    <row r="79" spans="1:44" ht="14">
      <c r="A79" s="7"/>
      <c r="B79" s="7"/>
      <c r="C79" s="7"/>
      <c r="D79" s="7"/>
      <c r="E79" s="7"/>
      <c r="F79" s="7"/>
      <c r="G79" s="7"/>
      <c r="H79" s="7"/>
      <c r="J79" s="7"/>
      <c r="K79" s="7"/>
      <c r="L79" s="7"/>
      <c r="M79" s="7"/>
      <c r="N79" s="7"/>
      <c r="O79" s="7"/>
      <c r="P79" s="7"/>
      <c r="Q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K79" s="7"/>
      <c r="AL79" s="7"/>
      <c r="AM79" s="7"/>
      <c r="AN79" s="7"/>
      <c r="AO79" s="7"/>
      <c r="AP79" s="7"/>
      <c r="AQ79" s="7"/>
      <c r="AR79" s="7"/>
    </row>
    <row r="80" spans="1:44" ht="14">
      <c r="A80" s="7"/>
      <c r="B80" s="7"/>
      <c r="C80" s="7"/>
      <c r="D80" s="27"/>
      <c r="E80" s="24"/>
      <c r="F80" s="7"/>
      <c r="G80" s="7"/>
      <c r="H80" s="7"/>
      <c r="J80" s="7"/>
      <c r="K80" s="7"/>
      <c r="L80" s="7"/>
      <c r="M80" s="27"/>
      <c r="N80" s="24"/>
      <c r="O80" s="7"/>
      <c r="P80" s="7"/>
      <c r="Q80" s="7"/>
      <c r="S80" s="7"/>
      <c r="T80" s="7"/>
      <c r="U80" s="7"/>
      <c r="V80" s="27"/>
      <c r="W80" s="24"/>
      <c r="X80" s="7"/>
      <c r="Y80" s="7"/>
      <c r="Z80" s="7"/>
      <c r="AA80" s="7"/>
      <c r="AB80" s="7"/>
      <c r="AC80" s="7"/>
      <c r="AD80" s="7"/>
      <c r="AE80" s="27"/>
      <c r="AF80" s="24"/>
      <c r="AG80" s="7"/>
      <c r="AH80" s="7"/>
      <c r="AI80" s="7"/>
      <c r="AK80" s="7"/>
      <c r="AL80" s="7"/>
      <c r="AM80" s="7"/>
      <c r="AN80" s="27"/>
      <c r="AO80" s="24"/>
      <c r="AP80" s="7"/>
      <c r="AQ80" s="7"/>
      <c r="AR80" s="7"/>
    </row>
    <row r="81" spans="1:44" ht="14">
      <c r="A81" s="7"/>
      <c r="B81" s="7"/>
      <c r="C81" s="7"/>
      <c r="D81" s="7"/>
      <c r="E81" s="7"/>
      <c r="F81" s="7"/>
      <c r="G81" s="7"/>
      <c r="H81" s="7"/>
      <c r="J81" s="7"/>
      <c r="K81" s="7"/>
      <c r="L81" s="7"/>
      <c r="M81" s="7"/>
      <c r="N81" s="7"/>
      <c r="O81" s="7"/>
      <c r="P81" s="7"/>
      <c r="Q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K81" s="7"/>
      <c r="AL81" s="7"/>
      <c r="AM81" s="7"/>
      <c r="AN81" s="7"/>
      <c r="AO81" s="7"/>
      <c r="AP81" s="7"/>
      <c r="AQ81" s="7"/>
      <c r="AR81" s="7"/>
    </row>
    <row r="82" spans="1:44" ht="14">
      <c r="A82" s="7"/>
      <c r="B82" s="7"/>
      <c r="C82" s="7"/>
      <c r="D82" s="7"/>
      <c r="E82" s="7"/>
      <c r="F82" s="7"/>
      <c r="G82" s="7"/>
      <c r="H82" s="7"/>
      <c r="J82" s="7"/>
      <c r="K82" s="7"/>
      <c r="L82" s="7"/>
      <c r="M82" s="7"/>
      <c r="N82" s="7"/>
      <c r="O82" s="7"/>
      <c r="P82" s="7"/>
      <c r="Q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K82" s="7"/>
      <c r="AL82" s="7"/>
      <c r="AM82" s="7"/>
      <c r="AN82" s="7"/>
      <c r="AO82" s="7"/>
      <c r="AP82" s="7"/>
      <c r="AQ82" s="7"/>
      <c r="AR82" s="7"/>
    </row>
    <row r="83" spans="1:44" ht="14">
      <c r="A83" s="7"/>
      <c r="B83" s="7"/>
      <c r="C83" s="7"/>
      <c r="D83" s="7"/>
      <c r="E83" s="7"/>
      <c r="F83" s="7"/>
      <c r="G83" s="7"/>
      <c r="H83" s="7"/>
      <c r="J83" s="7"/>
      <c r="K83" s="7"/>
      <c r="L83" s="7"/>
      <c r="M83" s="7"/>
      <c r="N83" s="7"/>
      <c r="O83" s="7"/>
      <c r="P83" s="7"/>
      <c r="Q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K83" s="7"/>
      <c r="AL83" s="7"/>
      <c r="AM83" s="7"/>
      <c r="AN83" s="7"/>
      <c r="AO83" s="7"/>
      <c r="AP83" s="7"/>
      <c r="AQ83" s="7"/>
      <c r="AR83" s="7"/>
    </row>
  </sheetData>
  <mergeCells count="54">
    <mergeCell ref="X53:Y53"/>
    <mergeCell ref="AP53:AQ53"/>
    <mergeCell ref="O55:P55"/>
    <mergeCell ref="O56:P56"/>
    <mergeCell ref="F42:G42"/>
    <mergeCell ref="F52:G52"/>
    <mergeCell ref="O52:P52"/>
    <mergeCell ref="X52:Y52"/>
    <mergeCell ref="AP52:AQ52"/>
    <mergeCell ref="X54:Y54"/>
    <mergeCell ref="F55:G55"/>
    <mergeCell ref="X55:Y55"/>
    <mergeCell ref="O58:P58"/>
    <mergeCell ref="X58:Y58"/>
    <mergeCell ref="AE80:AF80"/>
    <mergeCell ref="F58:G58"/>
    <mergeCell ref="F59:G59"/>
    <mergeCell ref="F60:G60"/>
    <mergeCell ref="F56:G56"/>
    <mergeCell ref="X56:Y56"/>
    <mergeCell ref="O59:P59"/>
    <mergeCell ref="X59:Y59"/>
    <mergeCell ref="O60:P60"/>
    <mergeCell ref="X60:Y60"/>
    <mergeCell ref="D62:E62"/>
    <mergeCell ref="D80:E80"/>
    <mergeCell ref="M80:N80"/>
    <mergeCell ref="V80:W80"/>
    <mergeCell ref="F35:G35"/>
    <mergeCell ref="F36:G36"/>
    <mergeCell ref="F37:G37"/>
    <mergeCell ref="F38:G38"/>
    <mergeCell ref="F39:G39"/>
    <mergeCell ref="F40:G40"/>
    <mergeCell ref="F41:G41"/>
    <mergeCell ref="F53:G53"/>
    <mergeCell ref="F54:G54"/>
    <mergeCell ref="O54:P54"/>
    <mergeCell ref="O53:P53"/>
    <mergeCell ref="AP58:AQ58"/>
    <mergeCell ref="AP59:AQ59"/>
    <mergeCell ref="AP60:AQ60"/>
    <mergeCell ref="AN80:AO80"/>
    <mergeCell ref="AG52:AH52"/>
    <mergeCell ref="AG53:AH53"/>
    <mergeCell ref="AG54:AH54"/>
    <mergeCell ref="AP54:AQ54"/>
    <mergeCell ref="AG55:AH55"/>
    <mergeCell ref="AP55:AQ55"/>
    <mergeCell ref="AP56:AQ56"/>
    <mergeCell ref="AG60:AH60"/>
    <mergeCell ref="AG56:AH56"/>
    <mergeCell ref="AG58:AH58"/>
    <mergeCell ref="AG59:AH59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H6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sheetData>
    <row r="1" spans="1:8" ht="1.5" customHeight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4">
      <c r="A2" s="2" t="s">
        <v>2</v>
      </c>
      <c r="B2" s="2" t="s">
        <v>3</v>
      </c>
      <c r="C2" s="2" t="s">
        <v>4</v>
      </c>
      <c r="D2" s="3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ht="14">
      <c r="A3" s="4">
        <v>1</v>
      </c>
      <c r="B3" s="5">
        <v>14.4</v>
      </c>
      <c r="C3" s="5">
        <v>12.2</v>
      </c>
      <c r="D3" s="5">
        <v>1.18</v>
      </c>
      <c r="E3" s="7" t="s">
        <v>354</v>
      </c>
      <c r="F3" s="7" t="s">
        <v>30</v>
      </c>
      <c r="G3" s="7"/>
      <c r="H3" s="7"/>
    </row>
    <row r="4" spans="1:8" ht="14">
      <c r="A4" s="4">
        <v>2</v>
      </c>
      <c r="B4" s="5">
        <v>12</v>
      </c>
      <c r="C4" s="5">
        <v>12.1</v>
      </c>
      <c r="D4" s="5">
        <v>0.99</v>
      </c>
      <c r="E4" s="7"/>
      <c r="F4" s="7" t="s">
        <v>30</v>
      </c>
      <c r="G4" s="7"/>
      <c r="H4" s="7"/>
    </row>
    <row r="5" spans="1:8" ht="14">
      <c r="A5" s="4">
        <v>3</v>
      </c>
      <c r="B5" s="5">
        <v>12.2</v>
      </c>
      <c r="C5" s="5">
        <v>11.6</v>
      </c>
      <c r="D5" s="5">
        <v>1.05</v>
      </c>
      <c r="E5" s="7"/>
      <c r="F5" s="7" t="s">
        <v>30</v>
      </c>
      <c r="G5" s="7"/>
      <c r="H5" s="7"/>
    </row>
    <row r="6" spans="1:8" ht="14">
      <c r="A6" s="4">
        <v>4</v>
      </c>
      <c r="B6" s="5">
        <v>9.1999999999999993</v>
      </c>
      <c r="C6" s="5">
        <v>8.6999999999999993</v>
      </c>
      <c r="D6" s="5">
        <v>1.06</v>
      </c>
      <c r="E6" s="7"/>
      <c r="F6" s="7" t="s">
        <v>30</v>
      </c>
      <c r="G6" s="7"/>
      <c r="H6" s="7"/>
    </row>
    <row r="7" spans="1:8" ht="14">
      <c r="A7" s="4">
        <v>5</v>
      </c>
      <c r="B7" s="5">
        <v>9.6</v>
      </c>
      <c r="C7" s="5">
        <v>10.8</v>
      </c>
      <c r="D7" s="5">
        <v>0.89</v>
      </c>
      <c r="E7" s="7"/>
      <c r="F7" s="7" t="s">
        <v>30</v>
      </c>
      <c r="G7" s="7"/>
      <c r="H7" s="7"/>
    </row>
    <row r="8" spans="1:8" ht="14">
      <c r="A8" s="4">
        <v>6</v>
      </c>
      <c r="B8" s="5">
        <v>10.199999999999999</v>
      </c>
      <c r="C8" s="5">
        <v>8.6999999999999993</v>
      </c>
      <c r="D8" s="5">
        <v>1.17</v>
      </c>
      <c r="E8" s="7"/>
      <c r="F8" s="7" t="s">
        <v>30</v>
      </c>
      <c r="G8" s="7"/>
      <c r="H8" s="7"/>
    </row>
    <row r="9" spans="1:8" ht="14">
      <c r="A9" s="4">
        <v>7</v>
      </c>
      <c r="B9" s="5">
        <v>9.6999999999999993</v>
      </c>
      <c r="C9" s="5">
        <v>8.8000000000000007</v>
      </c>
      <c r="D9" s="5">
        <v>1.1000000000000001</v>
      </c>
      <c r="E9" s="7"/>
      <c r="F9" s="7" t="s">
        <v>30</v>
      </c>
      <c r="G9" s="7"/>
      <c r="H9" s="7"/>
    </row>
    <row r="10" spans="1:8" ht="14">
      <c r="A10" s="4">
        <v>8</v>
      </c>
      <c r="B10" s="5">
        <v>11.2</v>
      </c>
      <c r="C10" s="5">
        <v>8.6999999999999993</v>
      </c>
      <c r="D10" s="5">
        <v>1.29</v>
      </c>
      <c r="E10" s="7"/>
      <c r="F10" s="7" t="s">
        <v>30</v>
      </c>
      <c r="G10" s="7"/>
      <c r="H10" s="7"/>
    </row>
    <row r="11" spans="1:8" ht="14">
      <c r="A11" s="4">
        <v>9</v>
      </c>
      <c r="B11" s="5">
        <v>9.8000000000000007</v>
      </c>
      <c r="C11" s="5">
        <v>7.7</v>
      </c>
      <c r="D11" s="5">
        <v>1.27</v>
      </c>
      <c r="E11" s="7"/>
      <c r="F11" s="7" t="s">
        <v>30</v>
      </c>
      <c r="G11" s="7"/>
      <c r="H11" s="7"/>
    </row>
    <row r="12" spans="1:8" ht="14">
      <c r="A12" s="4">
        <v>10</v>
      </c>
      <c r="B12" s="5">
        <v>9.5</v>
      </c>
      <c r="C12" s="5">
        <v>8.4</v>
      </c>
      <c r="D12" s="5">
        <v>1.1299999999999999</v>
      </c>
      <c r="E12" s="7"/>
      <c r="F12" s="7" t="s">
        <v>30</v>
      </c>
      <c r="G12" s="7"/>
      <c r="H12" s="7"/>
    </row>
    <row r="13" spans="1:8" ht="14">
      <c r="A13" s="8">
        <v>11</v>
      </c>
      <c r="B13" s="17">
        <v>9.6</v>
      </c>
      <c r="C13" s="17">
        <v>8.3000000000000007</v>
      </c>
      <c r="D13" s="5"/>
      <c r="E13" s="7"/>
      <c r="F13" s="14" t="s">
        <v>30</v>
      </c>
      <c r="G13" s="7"/>
      <c r="H13" s="7"/>
    </row>
    <row r="14" spans="1:8" ht="14">
      <c r="A14" s="8">
        <v>12</v>
      </c>
      <c r="B14" s="17">
        <v>10.1</v>
      </c>
      <c r="C14" s="17">
        <v>9.6999999999999993</v>
      </c>
      <c r="D14" s="5"/>
      <c r="E14" s="7"/>
      <c r="F14" s="7"/>
      <c r="G14" s="7"/>
      <c r="H14" s="7"/>
    </row>
    <row r="15" spans="1:8" ht="14">
      <c r="A15" s="8">
        <v>13</v>
      </c>
      <c r="B15" s="17">
        <v>9.1999999999999993</v>
      </c>
      <c r="C15" s="17">
        <v>9.5</v>
      </c>
      <c r="D15" s="5"/>
      <c r="E15" s="7"/>
      <c r="F15" s="7"/>
      <c r="G15" s="7"/>
      <c r="H15" s="7"/>
    </row>
    <row r="16" spans="1:8" ht="14">
      <c r="A16" s="8">
        <v>14</v>
      </c>
      <c r="B16" s="17">
        <v>8</v>
      </c>
      <c r="C16" s="17">
        <v>7.9</v>
      </c>
      <c r="D16" s="5"/>
      <c r="E16" s="7"/>
      <c r="F16" s="7"/>
      <c r="G16" s="7"/>
      <c r="H16" s="7"/>
    </row>
    <row r="17" spans="1:8" ht="14">
      <c r="A17" s="8">
        <v>15</v>
      </c>
      <c r="B17" s="17">
        <v>10.6</v>
      </c>
      <c r="C17" s="17">
        <v>8.5</v>
      </c>
      <c r="D17" s="5"/>
      <c r="E17" s="7"/>
      <c r="F17" s="7"/>
      <c r="G17" s="7"/>
      <c r="H17" s="7"/>
    </row>
    <row r="18" spans="1:8" ht="14">
      <c r="A18" s="8">
        <v>16</v>
      </c>
      <c r="B18" s="17">
        <v>9.6</v>
      </c>
      <c r="C18" s="17">
        <v>9</v>
      </c>
      <c r="D18" s="5"/>
      <c r="E18" s="7"/>
      <c r="F18" s="7"/>
      <c r="G18" s="7"/>
      <c r="H18" s="7"/>
    </row>
    <row r="19" spans="1:8" ht="14">
      <c r="A19" s="8">
        <v>17</v>
      </c>
      <c r="B19" s="17">
        <v>11</v>
      </c>
      <c r="C19" s="17">
        <v>9.6</v>
      </c>
      <c r="D19" s="5"/>
      <c r="E19" s="7"/>
      <c r="F19" s="7"/>
      <c r="G19" s="7"/>
      <c r="H19" s="7"/>
    </row>
    <row r="20" spans="1:8" ht="14">
      <c r="A20" s="8">
        <v>18</v>
      </c>
      <c r="B20" s="17">
        <v>8.8000000000000007</v>
      </c>
      <c r="C20" s="17">
        <v>7.8</v>
      </c>
      <c r="D20" s="5"/>
      <c r="E20" s="7"/>
      <c r="F20" s="7"/>
      <c r="G20" s="7"/>
      <c r="H20" s="7"/>
    </row>
    <row r="21" spans="1:8" ht="14">
      <c r="A21" s="8">
        <v>19</v>
      </c>
      <c r="B21" s="17">
        <v>11</v>
      </c>
      <c r="C21" s="17">
        <v>9</v>
      </c>
      <c r="D21" s="5"/>
      <c r="E21" s="7"/>
      <c r="F21" s="7"/>
      <c r="G21" s="7"/>
      <c r="H21" s="7"/>
    </row>
    <row r="22" spans="1:8" ht="14">
      <c r="A22" s="8">
        <v>20</v>
      </c>
      <c r="B22" s="17">
        <v>10.199999999999999</v>
      </c>
      <c r="C22" s="17">
        <v>9.4</v>
      </c>
      <c r="D22" s="5"/>
      <c r="E22" s="7"/>
      <c r="F22" s="7"/>
      <c r="G22" s="7"/>
      <c r="H22" s="7"/>
    </row>
    <row r="23" spans="1:8" ht="14">
      <c r="A23" s="8">
        <v>21</v>
      </c>
      <c r="B23" s="17">
        <v>9.8000000000000007</v>
      </c>
      <c r="C23" s="17">
        <v>8.6999999999999993</v>
      </c>
      <c r="D23" s="5"/>
      <c r="E23" s="7"/>
      <c r="F23" s="7"/>
      <c r="G23" s="7"/>
      <c r="H23" s="7"/>
    </row>
    <row r="24" spans="1:8" ht="14">
      <c r="A24" s="8">
        <v>22</v>
      </c>
      <c r="B24" s="17">
        <v>9.8000000000000007</v>
      </c>
      <c r="C24" s="17">
        <v>9.1</v>
      </c>
      <c r="D24" s="5"/>
      <c r="E24" s="7"/>
      <c r="F24" s="7"/>
      <c r="G24" s="7"/>
      <c r="H24" s="7"/>
    </row>
    <row r="25" spans="1:8" ht="14">
      <c r="A25" s="8">
        <v>23</v>
      </c>
      <c r="B25" s="17">
        <v>8</v>
      </c>
      <c r="C25" s="17">
        <v>8.5</v>
      </c>
      <c r="D25" s="5"/>
      <c r="E25" s="7"/>
      <c r="F25" s="7"/>
      <c r="G25" s="7"/>
      <c r="H25" s="7"/>
    </row>
    <row r="26" spans="1:8" ht="14">
      <c r="A26" s="8">
        <v>24</v>
      </c>
      <c r="B26" s="17">
        <v>7.3</v>
      </c>
      <c r="C26" s="17">
        <v>7.1</v>
      </c>
      <c r="D26" s="5"/>
      <c r="E26" s="7"/>
      <c r="F26" s="7"/>
      <c r="G26" s="7"/>
      <c r="H26" s="7"/>
    </row>
    <row r="27" spans="1:8" ht="14">
      <c r="A27" s="8">
        <v>25</v>
      </c>
      <c r="B27" s="17">
        <v>9.4</v>
      </c>
      <c r="C27" s="17">
        <v>9.4</v>
      </c>
      <c r="D27" s="5"/>
      <c r="E27" s="7"/>
      <c r="F27" s="7"/>
      <c r="G27" s="7"/>
      <c r="H27" s="7"/>
    </row>
    <row r="28" spans="1:8" ht="14">
      <c r="A28" s="4" t="s">
        <v>10</v>
      </c>
      <c r="B28" s="5">
        <f t="shared" ref="B28:D28" si="0">AVERAGE(B3:B27)</f>
        <v>10.008000000000001</v>
      </c>
      <c r="C28" s="5">
        <f t="shared" si="0"/>
        <v>9.1679999999999993</v>
      </c>
      <c r="D28" s="5">
        <f t="shared" si="0"/>
        <v>1.113</v>
      </c>
      <c r="E28" s="7"/>
      <c r="F28" s="7"/>
      <c r="G28" s="7"/>
      <c r="H28" s="7"/>
    </row>
    <row r="29" spans="1:8" ht="14">
      <c r="A29" s="4" t="s">
        <v>11</v>
      </c>
      <c r="B29" s="5">
        <f t="shared" ref="B29:D29" si="1">MIN(B4:B27)</f>
        <v>7.3</v>
      </c>
      <c r="C29" s="5">
        <f t="shared" si="1"/>
        <v>7.1</v>
      </c>
      <c r="D29" s="5">
        <f t="shared" si="1"/>
        <v>0.89</v>
      </c>
      <c r="E29" s="7"/>
      <c r="F29" s="7"/>
      <c r="G29" s="7"/>
      <c r="H29" s="7"/>
    </row>
    <row r="30" spans="1:8" ht="14">
      <c r="A30" s="4" t="s">
        <v>12</v>
      </c>
      <c r="B30" s="5">
        <f t="shared" ref="B30:D30" si="2">MAX(B5:B27)</f>
        <v>12.2</v>
      </c>
      <c r="C30" s="5">
        <f t="shared" si="2"/>
        <v>11.6</v>
      </c>
      <c r="D30" s="5">
        <f t="shared" si="2"/>
        <v>1.29</v>
      </c>
      <c r="E30" s="7"/>
      <c r="F30" s="7"/>
      <c r="G30" s="7"/>
      <c r="H30" s="7"/>
    </row>
    <row r="31" spans="1:8" ht="14">
      <c r="A31" s="2"/>
      <c r="B31" s="7"/>
      <c r="C31" s="7"/>
      <c r="D31" s="7"/>
      <c r="E31" s="7"/>
      <c r="F31" s="7"/>
      <c r="G31" s="7"/>
      <c r="H31" s="7"/>
    </row>
    <row r="32" spans="1:8" ht="14">
      <c r="A32" s="2"/>
      <c r="B32" s="7"/>
      <c r="C32" s="7"/>
      <c r="D32" s="7"/>
      <c r="E32" s="7"/>
      <c r="F32" s="7"/>
      <c r="G32" s="7"/>
      <c r="H32" s="7"/>
    </row>
    <row r="33" spans="1:8" ht="14">
      <c r="A33" s="2" t="s">
        <v>13</v>
      </c>
      <c r="B33" s="2" t="s">
        <v>3</v>
      </c>
      <c r="C33" s="2" t="s">
        <v>4</v>
      </c>
      <c r="D33" s="2" t="s">
        <v>14</v>
      </c>
      <c r="E33" s="2" t="s">
        <v>15</v>
      </c>
      <c r="F33" s="2" t="s">
        <v>9</v>
      </c>
      <c r="G33" s="2" t="s">
        <v>16</v>
      </c>
      <c r="H33" s="2" t="s">
        <v>17</v>
      </c>
    </row>
    <row r="34" spans="1:8" ht="14">
      <c r="A34" s="4">
        <v>1</v>
      </c>
      <c r="B34" s="5">
        <v>30.5</v>
      </c>
      <c r="C34" s="5">
        <v>8.9</v>
      </c>
      <c r="D34" s="5">
        <v>2</v>
      </c>
      <c r="E34" s="5">
        <v>3.7</v>
      </c>
      <c r="F34" s="7" t="s">
        <v>359</v>
      </c>
      <c r="G34" s="7"/>
      <c r="H34" s="7" t="s">
        <v>360</v>
      </c>
    </row>
    <row r="35" spans="1:8" ht="14">
      <c r="A35" s="4">
        <v>2</v>
      </c>
      <c r="B35" s="5">
        <v>26.1</v>
      </c>
      <c r="C35" s="5">
        <v>7.1</v>
      </c>
      <c r="D35" s="5">
        <v>2</v>
      </c>
      <c r="E35" s="5">
        <v>5.8</v>
      </c>
      <c r="F35" s="7"/>
      <c r="G35" s="7" t="s">
        <v>361</v>
      </c>
      <c r="H35" s="7" t="s">
        <v>362</v>
      </c>
    </row>
    <row r="36" spans="1:8" ht="14">
      <c r="A36" s="4">
        <v>3</v>
      </c>
      <c r="B36" s="5">
        <v>28.2</v>
      </c>
      <c r="C36" s="5">
        <v>10</v>
      </c>
      <c r="D36" s="5">
        <v>2</v>
      </c>
      <c r="E36" s="5">
        <v>6.6</v>
      </c>
      <c r="F36" s="7"/>
      <c r="G36" s="7"/>
      <c r="H36" s="7"/>
    </row>
    <row r="37" spans="1:8" ht="14">
      <c r="A37" s="4">
        <v>4</v>
      </c>
      <c r="B37" s="5">
        <v>28.9</v>
      </c>
      <c r="C37" s="5">
        <v>7.8</v>
      </c>
      <c r="D37" s="5">
        <v>2</v>
      </c>
      <c r="E37" s="5">
        <v>1.8</v>
      </c>
      <c r="F37" s="7"/>
      <c r="G37" s="7"/>
      <c r="H37" s="7"/>
    </row>
    <row r="38" spans="1:8" ht="14">
      <c r="A38" s="4">
        <v>5</v>
      </c>
      <c r="B38" s="5">
        <v>34.1</v>
      </c>
      <c r="C38" s="5">
        <v>8.1</v>
      </c>
      <c r="D38" s="5">
        <v>2</v>
      </c>
      <c r="E38" s="5">
        <v>4.0999999999999996</v>
      </c>
      <c r="F38" s="7"/>
      <c r="G38" s="7"/>
      <c r="H38" s="7"/>
    </row>
    <row r="39" spans="1:8" ht="14">
      <c r="A39" s="4">
        <v>6</v>
      </c>
      <c r="B39" s="5">
        <v>30.8</v>
      </c>
      <c r="C39" s="5">
        <v>7.5</v>
      </c>
      <c r="D39" s="5">
        <v>2</v>
      </c>
      <c r="E39" s="5">
        <v>4.2</v>
      </c>
      <c r="F39" s="7"/>
      <c r="G39" s="7"/>
      <c r="H39" s="7" t="s">
        <v>365</v>
      </c>
    </row>
    <row r="40" spans="1:8" ht="14">
      <c r="A40" s="4">
        <v>7</v>
      </c>
      <c r="B40" s="5">
        <v>33.799999999999997</v>
      </c>
      <c r="C40" s="5">
        <v>8.1999999999999993</v>
      </c>
      <c r="D40" s="5">
        <v>2</v>
      </c>
      <c r="E40" s="5">
        <v>6.6</v>
      </c>
      <c r="F40" s="7"/>
      <c r="G40" s="7"/>
      <c r="H40" s="7"/>
    </row>
    <row r="41" spans="1:8" ht="14">
      <c r="A41" s="4">
        <v>8</v>
      </c>
      <c r="B41" s="5">
        <v>28</v>
      </c>
      <c r="C41" s="5">
        <v>7.9</v>
      </c>
      <c r="D41" s="5">
        <v>2</v>
      </c>
      <c r="E41" s="5">
        <v>6.3</v>
      </c>
      <c r="F41" s="7"/>
      <c r="G41" s="7"/>
      <c r="H41" s="7"/>
    </row>
    <row r="42" spans="1:8" ht="14">
      <c r="A42" s="4">
        <v>9</v>
      </c>
      <c r="B42" s="5">
        <v>27.5</v>
      </c>
      <c r="C42" s="5">
        <v>9.1</v>
      </c>
      <c r="D42" s="5">
        <v>2</v>
      </c>
      <c r="E42" s="5">
        <v>5.3</v>
      </c>
      <c r="F42" s="7"/>
      <c r="G42" s="7"/>
      <c r="H42" s="7"/>
    </row>
    <row r="43" spans="1:8" ht="14">
      <c r="A43" s="4">
        <v>10</v>
      </c>
      <c r="B43" s="5">
        <v>24.2</v>
      </c>
      <c r="C43" s="5">
        <v>6.7</v>
      </c>
      <c r="D43" s="5">
        <v>2</v>
      </c>
      <c r="E43" s="5">
        <v>7.1</v>
      </c>
      <c r="F43" s="7"/>
      <c r="G43" s="7"/>
      <c r="H43" s="7"/>
    </row>
    <row r="44" spans="1:8" ht="14">
      <c r="A44" s="8">
        <v>11</v>
      </c>
      <c r="B44" s="17">
        <v>39.1</v>
      </c>
      <c r="C44" s="17">
        <v>8.9</v>
      </c>
      <c r="D44" s="17">
        <v>2</v>
      </c>
      <c r="E44" s="17">
        <v>6.4</v>
      </c>
      <c r="F44" s="7"/>
      <c r="G44" s="7"/>
      <c r="H44" s="7"/>
    </row>
    <row r="45" spans="1:8" ht="14">
      <c r="A45" s="8">
        <v>12</v>
      </c>
      <c r="B45" s="1">
        <v>35</v>
      </c>
      <c r="C45" s="1">
        <v>8.9</v>
      </c>
      <c r="D45" s="1">
        <v>2</v>
      </c>
      <c r="E45" s="1">
        <v>4.9000000000000004</v>
      </c>
      <c r="F45" s="7"/>
      <c r="G45" s="7"/>
      <c r="H45" s="7"/>
    </row>
    <row r="46" spans="1:8" ht="14">
      <c r="A46" s="8">
        <v>13</v>
      </c>
      <c r="B46" s="1">
        <v>29.2</v>
      </c>
      <c r="C46" s="1">
        <v>9.4</v>
      </c>
      <c r="D46" s="1">
        <v>2</v>
      </c>
      <c r="E46" s="1">
        <v>6</v>
      </c>
      <c r="F46" s="7"/>
      <c r="G46" s="7"/>
      <c r="H46" s="7"/>
    </row>
    <row r="47" spans="1:8" ht="14">
      <c r="A47" s="8">
        <v>14</v>
      </c>
      <c r="B47" s="1">
        <v>32.700000000000003</v>
      </c>
      <c r="C47" s="1">
        <v>8.5</v>
      </c>
      <c r="D47" s="1">
        <v>2</v>
      </c>
      <c r="E47" s="1">
        <v>4.5</v>
      </c>
      <c r="F47" s="7"/>
      <c r="G47" s="7"/>
      <c r="H47" s="7"/>
    </row>
    <row r="48" spans="1:8" ht="14">
      <c r="A48" s="8">
        <v>15</v>
      </c>
      <c r="B48" s="1">
        <v>32.1</v>
      </c>
      <c r="C48" s="1">
        <v>8.6</v>
      </c>
      <c r="D48" s="1">
        <v>2</v>
      </c>
      <c r="E48" s="1">
        <v>7.9</v>
      </c>
      <c r="F48" s="7"/>
      <c r="G48" s="7"/>
      <c r="H48" s="7"/>
    </row>
    <row r="49" spans="1:8" ht="14">
      <c r="A49" s="8">
        <v>16</v>
      </c>
      <c r="B49" s="1">
        <v>30.2</v>
      </c>
      <c r="C49" s="1">
        <v>9.1</v>
      </c>
      <c r="D49" s="1">
        <v>2</v>
      </c>
      <c r="E49" s="1">
        <v>4.4000000000000004</v>
      </c>
      <c r="F49" s="7"/>
      <c r="G49" s="7"/>
      <c r="H49" s="7"/>
    </row>
    <row r="50" spans="1:8" ht="14">
      <c r="A50" s="8">
        <v>17</v>
      </c>
      <c r="B50" s="1">
        <v>32.6</v>
      </c>
      <c r="C50" s="1">
        <v>9.3000000000000007</v>
      </c>
      <c r="D50" s="1">
        <v>2</v>
      </c>
      <c r="E50" s="1">
        <v>5.6</v>
      </c>
      <c r="F50" s="7"/>
      <c r="G50" s="7"/>
      <c r="H50" s="7"/>
    </row>
    <row r="51" spans="1:8" ht="14">
      <c r="A51" s="8">
        <v>18</v>
      </c>
      <c r="B51" s="1">
        <v>32.200000000000003</v>
      </c>
      <c r="C51" s="1">
        <v>7.6</v>
      </c>
      <c r="D51" s="1">
        <v>2</v>
      </c>
      <c r="E51" s="1">
        <v>5.4</v>
      </c>
      <c r="F51" s="7"/>
      <c r="G51" s="7"/>
      <c r="H51" s="7"/>
    </row>
    <row r="52" spans="1:8" ht="14">
      <c r="A52" s="8">
        <v>19</v>
      </c>
      <c r="B52" s="1">
        <v>34.6</v>
      </c>
      <c r="C52" s="1">
        <v>10</v>
      </c>
      <c r="D52" s="1">
        <v>2</v>
      </c>
      <c r="E52" s="1">
        <v>6.8</v>
      </c>
      <c r="F52" s="7"/>
      <c r="G52" s="7"/>
      <c r="H52" s="7"/>
    </row>
    <row r="53" spans="1:8" ht="14">
      <c r="A53" s="8">
        <v>20</v>
      </c>
      <c r="B53" s="17">
        <v>39.700000000000003</v>
      </c>
      <c r="C53" s="17">
        <v>8.1999999999999993</v>
      </c>
      <c r="D53" s="17">
        <v>2</v>
      </c>
      <c r="E53" s="14">
        <v>6.8</v>
      </c>
      <c r="F53" s="27"/>
      <c r="G53" s="24"/>
      <c r="H53" s="7"/>
    </row>
    <row r="54" spans="1:8" ht="14">
      <c r="A54" s="8">
        <v>21</v>
      </c>
      <c r="B54" s="17">
        <v>30.7</v>
      </c>
      <c r="C54" s="17">
        <v>9.4</v>
      </c>
      <c r="D54" s="17">
        <v>2</v>
      </c>
      <c r="E54" s="17">
        <v>7.4</v>
      </c>
      <c r="F54" s="27"/>
      <c r="G54" s="24"/>
      <c r="H54" s="7"/>
    </row>
    <row r="55" spans="1:8" ht="14">
      <c r="A55" s="8">
        <v>22</v>
      </c>
      <c r="B55" s="17">
        <v>28.6</v>
      </c>
      <c r="C55" s="17">
        <v>10.1</v>
      </c>
      <c r="D55" s="17">
        <v>2</v>
      </c>
      <c r="E55" s="17">
        <v>7.2</v>
      </c>
      <c r="F55" s="27"/>
      <c r="G55" s="24"/>
      <c r="H55" s="7"/>
    </row>
    <row r="56" spans="1:8" ht="14">
      <c r="A56" s="8">
        <v>23</v>
      </c>
      <c r="B56" s="17">
        <v>28.6</v>
      </c>
      <c r="C56" s="17">
        <v>7.7</v>
      </c>
      <c r="D56" s="17">
        <v>2</v>
      </c>
      <c r="E56" s="17">
        <v>7.9</v>
      </c>
      <c r="F56" s="27"/>
      <c r="G56" s="24"/>
      <c r="H56" s="14" t="s">
        <v>60</v>
      </c>
    </row>
    <row r="57" spans="1:8" ht="14">
      <c r="A57" s="8">
        <v>24</v>
      </c>
      <c r="B57" s="17">
        <v>30</v>
      </c>
      <c r="C57" s="17">
        <v>8.9</v>
      </c>
      <c r="D57" s="17">
        <v>2</v>
      </c>
      <c r="E57" s="17">
        <v>8.6999999999999993</v>
      </c>
      <c r="F57" s="27"/>
      <c r="G57" s="24"/>
      <c r="H57" s="7"/>
    </row>
    <row r="58" spans="1:8" ht="14">
      <c r="A58" s="8">
        <v>25</v>
      </c>
      <c r="B58" s="5"/>
      <c r="C58" s="5"/>
      <c r="D58" s="5"/>
      <c r="E58" s="5"/>
      <c r="F58" s="7"/>
      <c r="G58" s="7"/>
      <c r="H58" s="7"/>
    </row>
    <row r="59" spans="1:8" ht="14">
      <c r="A59" s="4" t="s">
        <v>10</v>
      </c>
      <c r="B59" s="9">
        <f t="shared" ref="B59:C59" si="3">AVERAGE(B34:B58)</f>
        <v>31.141666666666676</v>
      </c>
      <c r="C59" s="9">
        <f t="shared" si="3"/>
        <v>8.5791666666666675</v>
      </c>
      <c r="D59" s="17" t="s">
        <v>18</v>
      </c>
      <c r="E59" s="7"/>
      <c r="F59" s="27"/>
      <c r="G59" s="24"/>
      <c r="H59" s="7"/>
    </row>
    <row r="60" spans="1:8" ht="14">
      <c r="A60" s="4" t="s">
        <v>11</v>
      </c>
      <c r="B60" s="5">
        <f t="shared" ref="B60:D60" si="4">MIN(B34:B58)</f>
        <v>24.2</v>
      </c>
      <c r="C60" s="5">
        <f t="shared" si="4"/>
        <v>6.7</v>
      </c>
      <c r="D60" s="5">
        <f t="shared" si="4"/>
        <v>2</v>
      </c>
      <c r="E60" s="7"/>
      <c r="F60" s="27"/>
      <c r="G60" s="24"/>
      <c r="H60" s="7"/>
    </row>
    <row r="61" spans="1:8" ht="14">
      <c r="A61" s="4" t="s">
        <v>12</v>
      </c>
      <c r="B61" s="5">
        <f t="shared" ref="B61:D61" si="5">MAX(B35:B59)</f>
        <v>39.700000000000003</v>
      </c>
      <c r="C61" s="5">
        <f t="shared" si="5"/>
        <v>10.1</v>
      </c>
      <c r="D61" s="5">
        <f t="shared" si="5"/>
        <v>2</v>
      </c>
      <c r="E61" s="7"/>
      <c r="F61" s="27"/>
      <c r="G61" s="24"/>
      <c r="H61" s="7"/>
    </row>
    <row r="62" spans="1:8" ht="14">
      <c r="A62" s="2"/>
      <c r="B62" s="7"/>
      <c r="C62" s="7"/>
      <c r="D62" s="7"/>
      <c r="E62" s="7"/>
      <c r="F62" s="7"/>
      <c r="G62" s="7"/>
      <c r="H62" s="7"/>
    </row>
    <row r="63" spans="1:8" ht="14">
      <c r="A63" s="2" t="s">
        <v>19</v>
      </c>
      <c r="B63" s="7" t="s">
        <v>20</v>
      </c>
      <c r="C63" s="7" t="s">
        <v>21</v>
      </c>
      <c r="D63" s="27" t="s">
        <v>22</v>
      </c>
      <c r="E63" s="24"/>
      <c r="F63" s="14" t="s">
        <v>23</v>
      </c>
      <c r="G63" s="14" t="s">
        <v>24</v>
      </c>
      <c r="H63" s="14" t="s">
        <v>25</v>
      </c>
    </row>
    <row r="64" spans="1:8" ht="14">
      <c r="A64" s="2"/>
      <c r="B64" s="7"/>
      <c r="C64" s="7"/>
      <c r="D64" s="7"/>
      <c r="E64" s="7"/>
      <c r="F64" s="7"/>
      <c r="G64" s="7"/>
      <c r="H64" s="7"/>
    </row>
    <row r="65" spans="1:8" ht="14">
      <c r="A65" s="2" t="s">
        <v>26</v>
      </c>
      <c r="B65" s="7" t="s">
        <v>27</v>
      </c>
      <c r="C65" s="7"/>
      <c r="D65" s="7"/>
      <c r="E65" s="7"/>
      <c r="F65" s="7"/>
      <c r="G65" s="7"/>
      <c r="H65" s="7"/>
    </row>
    <row r="66" spans="1:8" ht="14">
      <c r="A66" s="2"/>
      <c r="B66" s="14" t="s">
        <v>294</v>
      </c>
      <c r="C66" s="7"/>
      <c r="D66" s="7"/>
      <c r="E66" s="7"/>
      <c r="F66" s="7"/>
      <c r="G66" s="7"/>
      <c r="H66" s="7"/>
    </row>
  </sheetData>
  <mergeCells count="9">
    <mergeCell ref="F61:G61"/>
    <mergeCell ref="D63:E63"/>
    <mergeCell ref="F53:G53"/>
    <mergeCell ref="F54:G54"/>
    <mergeCell ref="F55:G55"/>
    <mergeCell ref="F56:G56"/>
    <mergeCell ref="F57:G57"/>
    <mergeCell ref="F59:G59"/>
    <mergeCell ref="F60:G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Nic List</vt:lpstr>
      <vt:lpstr>template</vt:lpstr>
      <vt:lpstr>30300</vt:lpstr>
      <vt:lpstr>30295</vt:lpstr>
      <vt:lpstr>30287</vt:lpstr>
      <vt:lpstr>30286</vt:lpstr>
      <vt:lpstr>30283</vt:lpstr>
      <vt:lpstr>30282</vt:lpstr>
      <vt:lpstr>30281</vt:lpstr>
      <vt:lpstr>30280</vt:lpstr>
      <vt:lpstr>30276</vt:lpstr>
      <vt:lpstr>30274</vt:lpstr>
      <vt:lpstr>30260</vt:lpstr>
      <vt:lpstr>30254</vt:lpstr>
      <vt:lpstr>30249</vt:lpstr>
      <vt:lpstr>30248</vt:lpstr>
      <vt:lpstr>30245</vt:lpstr>
      <vt:lpstr>30244</vt:lpstr>
      <vt:lpstr>30243</vt:lpstr>
      <vt:lpstr>30239</vt:lpstr>
      <vt:lpstr>30238</vt:lpstr>
      <vt:lpstr>30236</vt:lpstr>
      <vt:lpstr>30230</vt:lpstr>
      <vt:lpstr>30226</vt:lpstr>
      <vt:lpstr>30222</vt:lpstr>
      <vt:lpstr>30221</vt:lpstr>
      <vt:lpstr>30215</vt:lpstr>
      <vt:lpstr>30214</vt:lpstr>
      <vt:lpstr>30213</vt:lpstr>
      <vt:lpstr>30212</vt:lpstr>
      <vt:lpstr>30211(immature)</vt:lpstr>
      <vt:lpstr>30210(not found)</vt:lpstr>
      <vt:lpstr>30209</vt:lpstr>
      <vt:lpstr>30208</vt:lpstr>
      <vt:lpstr>30207</vt:lpstr>
      <vt:lpstr>30206</vt:lpstr>
      <vt:lpstr>30205</vt:lpstr>
      <vt:lpstr>30204</vt:lpstr>
      <vt:lpstr>30203</vt:lpstr>
      <vt:lpstr>30202</vt:lpstr>
      <vt:lpstr>30201</vt:lpstr>
      <vt:lpstr>30199</vt:lpstr>
      <vt:lpstr>30198</vt:lpstr>
      <vt:lpstr>30197</vt:lpstr>
      <vt:lpstr>30196</vt:lpstr>
      <vt:lpstr>30195</vt:lpstr>
      <vt:lpstr>30194</vt:lpstr>
      <vt:lpstr>30193</vt:lpstr>
      <vt:lpstr>30192</vt:lpstr>
      <vt:lpstr>30191</vt:lpstr>
      <vt:lpstr>30190</vt:lpstr>
      <vt:lpstr>30189</vt:lpstr>
      <vt:lpstr>30188</vt:lpstr>
      <vt:lpstr>30187</vt:lpstr>
      <vt:lpstr>30186</vt:lpstr>
      <vt:lpstr>30185</vt:lpstr>
      <vt:lpstr>30184</vt:lpstr>
      <vt:lpstr>30183</vt:lpstr>
      <vt:lpstr>30182</vt:lpstr>
      <vt:lpstr>30181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Hensley</cp:lastModifiedBy>
  <dcterms:modified xsi:type="dcterms:W3CDTF">2026-04-07T16:38:23Z</dcterms:modified>
</cp:coreProperties>
</file>